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" sheetId="1" r:id="rId5"/>
    <sheet state="visible" name="Heizkörperwerte" sheetId="2" r:id="rId6"/>
    <sheet state="visible" name="Heizkörperwerte (2025)" sheetId="3" r:id="rId7"/>
    <sheet state="visible" name="Kopie von Übersicht" sheetId="4" r:id="rId8"/>
  </sheets>
  <definedNames/>
  <calcPr/>
</workbook>
</file>

<file path=xl/sharedStrings.xml><?xml version="1.0" encoding="utf-8"?>
<sst xmlns="http://schemas.openxmlformats.org/spreadsheetml/2006/main" count="207" uniqueCount="67">
  <si>
    <t>2018 (anteilig)</t>
  </si>
  <si>
    <t>Umlagefähige Kosten</t>
  </si>
  <si>
    <t>Einheit/Verbrauch</t>
  </si>
  <si>
    <t>Preis/Einheit</t>
  </si>
  <si>
    <t>Summe</t>
  </si>
  <si>
    <t>Heizkosten</t>
  </si>
  <si>
    <t xml:space="preserve">    Grundkosten (30%)</t>
  </si>
  <si>
    <t xml:space="preserve">    Verbrauchskosten (70%)</t>
  </si>
  <si>
    <t xml:space="preserve">        83407121 (Badezimmer)</t>
  </si>
  <si>
    <t xml:space="preserve">        83407122 (Gäste-WC)</t>
  </si>
  <si>
    <t xml:space="preserve">        83407658 (Küche)</t>
  </si>
  <si>
    <t xml:space="preserve">        83407120 (Wohnzimmer)</t>
  </si>
  <si>
    <t xml:space="preserve">        83407128 (Wohnzimmer)</t>
  </si>
  <si>
    <t xml:space="preserve">        83407582 (Schlafzimmer)</t>
  </si>
  <si>
    <t xml:space="preserve">        83405678 (Büro/Kinderzimmer)</t>
  </si>
  <si>
    <t>Müllabfuhr</t>
  </si>
  <si>
    <t>Oberflächenwasser</t>
  </si>
  <si>
    <t>Wasser/Abwasser</t>
  </si>
  <si>
    <t xml:space="preserve">    Warmwasser</t>
  </si>
  <si>
    <t xml:space="preserve">        Grundkosten (30%)</t>
  </si>
  <si>
    <t xml:space="preserve">        Verbrauchskosten (70%)</t>
  </si>
  <si>
    <t xml:space="preserve">            49345105 (Badezimmer)</t>
  </si>
  <si>
    <t xml:space="preserve">            Gerätemiete</t>
  </si>
  <si>
    <t xml:space="preserve">    Kaltwasser</t>
  </si>
  <si>
    <t xml:space="preserve">        55060452 (Badezimmer)</t>
  </si>
  <si>
    <t xml:space="preserve">        49349164 (Keller)</t>
  </si>
  <si>
    <t>Hausnebenkosten</t>
  </si>
  <si>
    <t>Allgemeinstrom</t>
  </si>
  <si>
    <t>Versicherung</t>
  </si>
  <si>
    <t>Haus- und Grundstückspflege</t>
  </si>
  <si>
    <t>Winterdienst</t>
  </si>
  <si>
    <t>Zwischenablesung Techem</t>
  </si>
  <si>
    <t>Kabelgebühren</t>
  </si>
  <si>
    <t>Zwischensumme</t>
  </si>
  <si>
    <t>Nicht umlagefähige Kosten</t>
  </si>
  <si>
    <t>Aufwand Grundstück</t>
  </si>
  <si>
    <t>Reparaturen/Instandsetzung</t>
  </si>
  <si>
    <t>Hausverwaltung Vergütung</t>
  </si>
  <si>
    <t>Versicherung Kosten</t>
  </si>
  <si>
    <t>Versicherung Erstattungen</t>
  </si>
  <si>
    <t>Bankgebühren</t>
  </si>
  <si>
    <t>Sonstige Kosten</t>
  </si>
  <si>
    <t>Entnahme Rücklage</t>
  </si>
  <si>
    <t>Hausverwaltung Garagen</t>
  </si>
  <si>
    <t>Grundbesitzabgaben</t>
  </si>
  <si>
    <t>Gesamtsumme</t>
  </si>
  <si>
    <t>Vorauszahlung</t>
  </si>
  <si>
    <t>Differenz</t>
  </si>
  <si>
    <t>Datum</t>
  </si>
  <si>
    <t>Bad (7121)</t>
  </si>
  <si>
    <t>Gäste-WC (7122)</t>
  </si>
  <si>
    <t>Küche (7658)</t>
  </si>
  <si>
    <t>Wohnzimmer, Balkon (7120)</t>
  </si>
  <si>
    <t>Wohnzimmer, Sofa (7128)</t>
  </si>
  <si>
    <t>Schlafzimmer (7582)</t>
  </si>
  <si>
    <t>Büro (5678)</t>
  </si>
  <si>
    <t xml:space="preserve"> + Verbrauch Vorwoche</t>
  </si>
  <si>
    <t>Wasserzähler (Bad)</t>
  </si>
  <si>
    <t>Wasserzähler (Keller)</t>
  </si>
  <si>
    <t>-</t>
  </si>
  <si>
    <t>Zähler wurden zurückgesetzt</t>
  </si>
  <si>
    <t>neue Zähler wurden eingebaut</t>
  </si>
  <si>
    <t>Zähler wurden abgelesen und zurückgesetzt</t>
  </si>
  <si>
    <t>übersprungen wegen Urlaub</t>
  </si>
  <si>
    <t>urspr. 21.12. (wegen Urlaub)</t>
  </si>
  <si>
    <t>Ablesung durch Techem (zurückgesetzt)</t>
  </si>
  <si>
    <t>Gesamtverbrauch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</si>
</sst>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€-1]"/>
    <numFmt numFmtId="165" formatCode="#,##0.000"/>
    <numFmt numFmtId="166" formatCode="#,##0.000000\ [$€-1]"/>
    <numFmt numFmtId="167" formatCode="dd.MM.yyyy"/>
  </numFmts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6"/>
        <bgColor theme="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2" fillId="3" fontId="1" numFmtId="164" xfId="0" applyAlignment="1" applyBorder="1" applyFont="1" applyNumberFormat="1">
      <alignment readingOrder="0"/>
    </xf>
    <xf borderId="2" fillId="3" fontId="1" numFmtId="164" xfId="0" applyBorder="1" applyFont="1" applyNumberFormat="1"/>
    <xf borderId="2" fillId="4" fontId="1" numFmtId="164" xfId="0" applyAlignment="1" applyBorder="1" applyFont="1" applyNumberFormat="1">
      <alignment readingOrder="0"/>
    </xf>
    <xf borderId="2" fillId="4" fontId="1" numFmtId="164" xfId="0" applyBorder="1" applyFont="1" applyNumberFormat="1"/>
    <xf borderId="2" fillId="2" fontId="1" numFmtId="164" xfId="0" applyAlignment="1" applyBorder="1" applyFont="1" applyNumberFormat="1">
      <alignment readingOrder="0"/>
    </xf>
    <xf borderId="3" fillId="5" fontId="1" numFmtId="164" xfId="0" applyBorder="1" applyFill="1" applyFont="1" applyNumberFormat="1"/>
    <xf borderId="1" fillId="2" fontId="2" numFmtId="0" xfId="0" applyAlignment="1" applyBorder="1" applyFont="1">
      <alignment horizontal="left" readingOrder="0"/>
    </xf>
    <xf borderId="2" fillId="3" fontId="1" numFmtId="165" xfId="0" applyAlignment="1" applyBorder="1" applyFont="1" applyNumberFormat="1">
      <alignment readingOrder="0"/>
    </xf>
    <xf borderId="2" fillId="3" fontId="1" numFmtId="166" xfId="0" applyAlignment="1" applyBorder="1" applyFont="1" applyNumberFormat="1">
      <alignment readingOrder="0"/>
    </xf>
    <xf borderId="2" fillId="4" fontId="1" numFmtId="165" xfId="0" applyAlignment="1" applyBorder="1" applyFont="1" applyNumberFormat="1">
      <alignment readingOrder="0"/>
    </xf>
    <xf borderId="2" fillId="4" fontId="1" numFmtId="166" xfId="0" applyAlignment="1" applyBorder="1" applyFont="1" applyNumberFormat="1">
      <alignment readingOrder="0"/>
    </xf>
    <xf borderId="2" fillId="2" fontId="1" numFmtId="165" xfId="0" applyAlignment="1" applyBorder="1" applyFont="1" applyNumberFormat="1">
      <alignment readingOrder="0"/>
    </xf>
    <xf borderId="2" fillId="5" fontId="1" numFmtId="166" xfId="0" applyAlignment="1" applyBorder="1" applyFont="1" applyNumberFormat="1">
      <alignment readingOrder="0"/>
    </xf>
    <xf borderId="2" fillId="3" fontId="1" numFmtId="166" xfId="0" applyBorder="1" applyFont="1" applyNumberFormat="1"/>
    <xf borderId="2" fillId="4" fontId="1" numFmtId="166" xfId="0" applyBorder="1" applyFont="1" applyNumberFormat="1"/>
    <xf borderId="2" fillId="5" fontId="1" numFmtId="165" xfId="0" applyAlignment="1" applyBorder="1" applyFont="1" applyNumberFormat="1">
      <alignment readingOrder="0"/>
    </xf>
    <xf borderId="2" fillId="2" fontId="1" numFmtId="166" xfId="0" applyBorder="1" applyFont="1" applyNumberFormat="1"/>
    <xf borderId="1" fillId="2" fontId="1" numFmtId="0" xfId="0" applyAlignment="1" applyBorder="1" applyFont="1">
      <alignment horizontal="left" readingOrder="0"/>
    </xf>
    <xf borderId="3" fillId="5" fontId="1" numFmtId="164" xfId="0" applyAlignment="1" applyBorder="1" applyFont="1" applyNumberFormat="1">
      <alignment readingOrder="0"/>
    </xf>
    <xf borderId="2" fillId="2" fontId="1" numFmtId="166" xfId="0" applyAlignment="1" applyBorder="1" applyFont="1" applyNumberFormat="1">
      <alignment readingOrder="0"/>
    </xf>
    <xf borderId="2" fillId="3" fontId="1" numFmtId="165" xfId="0" applyBorder="1" applyFont="1" applyNumberFormat="1"/>
    <xf borderId="2" fillId="4" fontId="1" numFmtId="165" xfId="0" applyBorder="1" applyFont="1" applyNumberFormat="1"/>
    <xf borderId="2" fillId="2" fontId="1" numFmtId="165" xfId="0" applyBorder="1" applyFont="1" applyNumberFormat="1"/>
    <xf borderId="2" fillId="5" fontId="1" numFmtId="165" xfId="0" applyBorder="1" applyFont="1" applyNumberFormat="1"/>
    <xf borderId="2" fillId="2" fontId="1" numFmtId="164" xfId="0" applyBorder="1" applyFont="1" applyNumberFormat="1"/>
    <xf borderId="2" fillId="5" fontId="1" numFmtId="164" xfId="0" applyBorder="1" applyFont="1" applyNumberFormat="1"/>
    <xf borderId="2" fillId="5" fontId="1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2" fillId="3" fontId="1" numFmtId="4" xfId="0" applyBorder="1" applyFont="1" applyNumberFormat="1"/>
    <xf borderId="2" fillId="3" fontId="1" numFmtId="0" xfId="0" applyBorder="1" applyFont="1"/>
    <xf borderId="2" fillId="4" fontId="1" numFmtId="0" xfId="0" applyBorder="1" applyFont="1"/>
    <xf borderId="2" fillId="2" fontId="1" numFmtId="0" xfId="0" applyBorder="1" applyFont="1"/>
    <xf borderId="1" fillId="2" fontId="1" numFmtId="164" xfId="0" applyAlignment="1" applyBorder="1" applyFont="1" applyNumberFormat="1">
      <alignment readingOrder="0"/>
    </xf>
    <xf borderId="2" fillId="3" fontId="1" numFmtId="4" xfId="0" applyAlignment="1" applyBorder="1" applyFont="1" applyNumberFormat="1">
      <alignment readingOrder="0"/>
    </xf>
    <xf borderId="2" fillId="4" fontId="1" numFmtId="4" xfId="0" applyAlignment="1" applyBorder="1" applyFont="1" applyNumberFormat="1">
      <alignment readingOrder="0"/>
    </xf>
    <xf borderId="2" fillId="2" fontId="1" numFmtId="4" xfId="0" applyAlignment="1" applyBorder="1" applyFont="1" applyNumberFormat="1">
      <alignment readingOrder="0"/>
    </xf>
    <xf borderId="2" fillId="3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4" fontId="1" numFmtId="164" xfId="0" applyBorder="1" applyFont="1" applyNumberFormat="1"/>
    <xf borderId="0" fillId="2" fontId="2" numFmtId="167" xfId="0" applyAlignment="1" applyFont="1" applyNumberFormat="1">
      <alignment readingOrder="0"/>
    </xf>
    <xf borderId="0" fillId="2" fontId="2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2" fontId="1" numFmtId="167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4" fillId="2" fontId="1" numFmtId="167" xfId="0" applyAlignment="1" applyBorder="1" applyFont="1" applyNumberFormat="1">
      <alignment readingOrder="0"/>
    </xf>
    <xf borderId="2" fillId="5" fontId="1" numFmtId="0" xfId="0" applyAlignment="1" applyBorder="1" applyFont="1">
      <alignment readingOrder="0"/>
    </xf>
    <xf borderId="2" fillId="5" fontId="1" numFmtId="0" xfId="0" applyBorder="1" applyFont="1"/>
    <xf borderId="3" fillId="5" fontId="1" numFmtId="0" xfId="0" applyBorder="1" applyFont="1"/>
    <xf borderId="2" fillId="6" fontId="1" numFmtId="0" xfId="0" applyAlignment="1" applyBorder="1" applyFill="1" applyFont="1">
      <alignment readingOrder="0"/>
    </xf>
    <xf borderId="2" fillId="6" fontId="1" numFmtId="0" xfId="0" applyBorder="1" applyFont="1"/>
    <xf borderId="0" fillId="0" fontId="1" numFmtId="0" xfId="0" applyAlignment="1" applyFont="1">
      <alignment readingOrder="0"/>
    </xf>
    <xf borderId="0" fillId="0" fontId="1" numFmtId="167" xfId="0" applyFont="1" applyNumberFormat="1"/>
    <xf borderId="4" fillId="2" fontId="1" numFmtId="0" xfId="0" applyAlignment="1" applyBorder="1" applyFont="1">
      <alignment readingOrder="0"/>
    </xf>
    <xf borderId="2" fillId="5" fontId="2" numFmtId="0" xfId="0" applyAlignment="1" applyBorder="1" applyFont="1">
      <alignment horizontal="left" readingOrder="0"/>
    </xf>
    <xf borderId="2" fillId="0" fontId="3" numFmtId="0" xfId="0" applyBorder="1" applyFont="1"/>
    <xf borderId="4" fillId="0" fontId="2" numFmtId="0" xfId="0" applyAlignment="1" applyBorder="1" applyFont="1">
      <alignment readingOrder="0"/>
    </xf>
    <xf borderId="3" fillId="4" fontId="2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3" fillId="4" fontId="1" numFmtId="164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readingOrder="0"/>
    </xf>
    <xf borderId="4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88"/>
    <col customWidth="1" hidden="1" min="2" max="2" width="18.0"/>
    <col customWidth="1" hidden="1" min="3" max="3" width="13.25"/>
    <col customWidth="1" hidden="1" min="4" max="4" width="9.38"/>
    <col customWidth="1" hidden="1" min="5" max="5" width="18.0"/>
    <col customWidth="1" hidden="1" min="6" max="6" width="13.25"/>
    <col customWidth="1" hidden="1" min="7" max="7" width="11.0"/>
    <col customWidth="1" hidden="1" min="8" max="8" width="18.0"/>
    <col customWidth="1" hidden="1" min="9" max="9" width="13.25"/>
    <col customWidth="1" hidden="1" min="10" max="10" width="10.38"/>
    <col customWidth="1" min="11" max="11" width="18.0"/>
    <col customWidth="1" min="12" max="12" width="13.25"/>
    <col customWidth="1" min="13" max="13" width="11.0"/>
    <col customWidth="1" min="14" max="14" width="18.0"/>
    <col customWidth="1" min="15" max="15" width="13.25"/>
    <col customWidth="1" min="16" max="16" width="10.5"/>
    <col customWidth="1" min="17" max="17" width="18.0"/>
    <col customWidth="1" min="18" max="18" width="13.25"/>
    <col customWidth="1" min="19" max="19" width="10.5"/>
    <col customWidth="1" min="20" max="20" width="18.0"/>
    <col customWidth="1" min="21" max="21" width="13.25"/>
    <col customWidth="1" min="22" max="22" width="10.5"/>
    <col customWidth="1" min="23" max="23" width="18.0"/>
    <col customWidth="1" min="24" max="24" width="13.25"/>
    <col customWidth="1" min="25" max="25" width="10.5"/>
  </cols>
  <sheetData>
    <row r="1">
      <c r="A1" s="1"/>
      <c r="B1" s="2" t="s">
        <v>0</v>
      </c>
      <c r="E1" s="2">
        <v>2019.0</v>
      </c>
      <c r="H1" s="2">
        <v>2020.0</v>
      </c>
      <c r="K1" s="2">
        <v>2021.0</v>
      </c>
      <c r="N1" s="2">
        <v>2022.0</v>
      </c>
      <c r="Q1" s="2">
        <v>2023.0</v>
      </c>
      <c r="T1" s="2">
        <v>2024.0</v>
      </c>
      <c r="W1" s="2">
        <v>2025.0</v>
      </c>
      <c r="Z1" s="1"/>
      <c r="AA1" s="1"/>
      <c r="AB1" s="1"/>
      <c r="AC1" s="1"/>
      <c r="AD1" s="1"/>
      <c r="AE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 t="s">
        <v>2</v>
      </c>
      <c r="F2" s="5" t="s">
        <v>3</v>
      </c>
      <c r="G2" s="5" t="s">
        <v>4</v>
      </c>
      <c r="H2" s="4" t="s">
        <v>2</v>
      </c>
      <c r="I2" s="4" t="s">
        <v>3</v>
      </c>
      <c r="J2" s="4" t="s">
        <v>4</v>
      </c>
      <c r="K2" s="6" t="s">
        <v>2</v>
      </c>
      <c r="L2" s="6" t="s">
        <v>3</v>
      </c>
      <c r="M2" s="7" t="s">
        <v>4</v>
      </c>
      <c r="N2" s="6" t="s">
        <v>2</v>
      </c>
      <c r="O2" s="6" t="s">
        <v>3</v>
      </c>
      <c r="P2" s="7" t="s">
        <v>4</v>
      </c>
      <c r="Q2" s="6" t="s">
        <v>2</v>
      </c>
      <c r="R2" s="6" t="s">
        <v>3</v>
      </c>
      <c r="S2" s="7" t="s">
        <v>4</v>
      </c>
      <c r="T2" s="6" t="s">
        <v>2</v>
      </c>
      <c r="U2" s="6" t="s">
        <v>3</v>
      </c>
      <c r="V2" s="7" t="s">
        <v>4</v>
      </c>
      <c r="W2" s="6" t="s">
        <v>2</v>
      </c>
      <c r="X2" s="6" t="s">
        <v>3</v>
      </c>
      <c r="Y2" s="7" t="s">
        <v>4</v>
      </c>
      <c r="Z2" s="1"/>
      <c r="AA2" s="1"/>
      <c r="AB2" s="1"/>
      <c r="AC2" s="1"/>
      <c r="AD2" s="1"/>
      <c r="AE2" s="1"/>
    </row>
    <row r="3">
      <c r="A3" s="8" t="s">
        <v>5</v>
      </c>
      <c r="B3" s="9"/>
      <c r="C3" s="9"/>
      <c r="D3" s="10">
        <f>D4+D5</f>
        <v>128.838346</v>
      </c>
      <c r="E3" s="11"/>
      <c r="F3" s="11"/>
      <c r="G3" s="12">
        <f>G4+G5</f>
        <v>344.431003</v>
      </c>
      <c r="H3" s="9"/>
      <c r="I3" s="9"/>
      <c r="J3" s="10">
        <f>J4+J5</f>
        <v>403.714464</v>
      </c>
      <c r="K3" s="13"/>
      <c r="L3" s="13"/>
      <c r="M3" s="14">
        <f>M4+M5</f>
        <v>709.018258</v>
      </c>
      <c r="N3" s="13"/>
      <c r="O3" s="13"/>
      <c r="P3" s="14">
        <f>P4+P5</f>
        <v>448.344947</v>
      </c>
      <c r="Q3" s="13"/>
      <c r="R3" s="13"/>
      <c r="S3" s="14">
        <f>S4+S5</f>
        <v>591.033618</v>
      </c>
      <c r="T3" s="13"/>
      <c r="U3" s="13"/>
      <c r="V3" s="14">
        <f>V4+V5</f>
        <v>1095.230904</v>
      </c>
      <c r="W3" s="13"/>
      <c r="X3" s="13"/>
      <c r="Y3" s="14">
        <f>Y4+Y5</f>
        <v>0</v>
      </c>
      <c r="Z3" s="1"/>
      <c r="AA3" s="1"/>
      <c r="AB3" s="1"/>
      <c r="AC3" s="1"/>
      <c r="AD3" s="1"/>
      <c r="AE3" s="1"/>
    </row>
    <row r="4">
      <c r="A4" s="15" t="s">
        <v>6</v>
      </c>
      <c r="B4" s="16">
        <v>81.0</v>
      </c>
      <c r="C4" s="17">
        <v>1.238106</v>
      </c>
      <c r="D4" s="10">
        <f>(C4*B4)*0.36</f>
        <v>36.10317096</v>
      </c>
      <c r="E4" s="18">
        <v>81.0</v>
      </c>
      <c r="F4" s="19">
        <v>1.099792</v>
      </c>
      <c r="G4" s="12">
        <f>F4*E4</f>
        <v>89.083152</v>
      </c>
      <c r="H4" s="16">
        <v>81.0</v>
      </c>
      <c r="I4" s="17">
        <v>1.266848</v>
      </c>
      <c r="J4" s="10">
        <f>I4*H4</f>
        <v>102.614688</v>
      </c>
      <c r="K4" s="20">
        <v>81.0</v>
      </c>
      <c r="L4" s="21">
        <v>1.813826</v>
      </c>
      <c r="M4" s="14">
        <f>L4*K4</f>
        <v>146.919906</v>
      </c>
      <c r="N4" s="20">
        <v>81.0</v>
      </c>
      <c r="O4" s="21">
        <v>1.349455</v>
      </c>
      <c r="P4" s="14">
        <f>O4*N4</f>
        <v>109.305855</v>
      </c>
      <c r="Q4" s="20">
        <v>81.0</v>
      </c>
      <c r="R4" s="21">
        <v>1.811388</v>
      </c>
      <c r="S4" s="14">
        <f>R4*Q4</f>
        <v>146.722428</v>
      </c>
      <c r="T4" s="20">
        <v>81.0</v>
      </c>
      <c r="U4" s="21">
        <v>2.843645</v>
      </c>
      <c r="V4" s="14">
        <f>U4*T4</f>
        <v>230.335245</v>
      </c>
      <c r="W4" s="20">
        <v>81.0</v>
      </c>
      <c r="X4" s="21"/>
      <c r="Y4" s="14">
        <f>X4*W4</f>
        <v>0</v>
      </c>
      <c r="Z4" s="1"/>
      <c r="AA4" s="1"/>
      <c r="AB4" s="1"/>
      <c r="AC4" s="1"/>
      <c r="AD4" s="1"/>
      <c r="AE4" s="1"/>
    </row>
    <row r="5">
      <c r="A5" s="15" t="s">
        <v>7</v>
      </c>
      <c r="B5" s="16">
        <f>SUM(B6:B12)</f>
        <v>2095</v>
      </c>
      <c r="C5" s="22"/>
      <c r="D5" s="10">
        <f t="shared" ref="D5:E5" si="1">SUM(D6:D12)</f>
        <v>92.735175</v>
      </c>
      <c r="E5" s="18">
        <f t="shared" si="1"/>
        <v>5969</v>
      </c>
      <c r="F5" s="23"/>
      <c r="G5" s="12">
        <f t="shared" ref="G5:H5" si="2">SUM(G6:G12)</f>
        <v>255.347851</v>
      </c>
      <c r="H5" s="16">
        <f t="shared" si="2"/>
        <v>5952</v>
      </c>
      <c r="I5" s="22"/>
      <c r="J5" s="10">
        <f t="shared" ref="J5:K5" si="3">SUM(J6:J12)</f>
        <v>301.099776</v>
      </c>
      <c r="K5" s="24">
        <f t="shared" si="3"/>
        <v>9278</v>
      </c>
      <c r="L5" s="25"/>
      <c r="M5" s="14">
        <f t="shared" ref="M5:N5" si="4">SUM(M6:M12)</f>
        <v>562.098352</v>
      </c>
      <c r="N5" s="24">
        <f t="shared" si="4"/>
        <v>6052</v>
      </c>
      <c r="O5" s="25"/>
      <c r="P5" s="14">
        <f t="shared" ref="P5:Q5" si="5">SUM(P6:P12)</f>
        <v>339.039092</v>
      </c>
      <c r="Q5" s="24">
        <f t="shared" si="5"/>
        <v>5490</v>
      </c>
      <c r="R5" s="25"/>
      <c r="S5" s="14">
        <f t="shared" ref="S5:T5" si="6">SUM(S6:S12)</f>
        <v>444.31119</v>
      </c>
      <c r="T5" s="20">
        <f t="shared" si="6"/>
        <v>7597</v>
      </c>
      <c r="U5" s="25"/>
      <c r="V5" s="14">
        <f t="shared" ref="V5:W5" si="7">SUM(V6:V12)</f>
        <v>864.895659</v>
      </c>
      <c r="W5" s="20">
        <f t="shared" si="7"/>
        <v>0</v>
      </c>
      <c r="X5" s="25"/>
      <c r="Y5" s="14">
        <f>SUM(Y6:Y12)</f>
        <v>0</v>
      </c>
      <c r="Z5" s="1"/>
      <c r="AA5" s="1"/>
      <c r="AB5" s="1"/>
      <c r="AC5" s="1"/>
      <c r="AD5" s="1"/>
      <c r="AE5" s="1"/>
    </row>
    <row r="6">
      <c r="A6" s="26" t="s">
        <v>8</v>
      </c>
      <c r="B6" s="16">
        <v>222.0</v>
      </c>
      <c r="C6" s="17">
        <v>0.044265</v>
      </c>
      <c r="D6" s="10">
        <f t="shared" ref="D6:D12" si="8">B6*C6</f>
        <v>9.82683</v>
      </c>
      <c r="E6" s="18">
        <v>712.0</v>
      </c>
      <c r="F6" s="19">
        <v>0.042779</v>
      </c>
      <c r="G6" s="12">
        <f t="shared" ref="G6:G15" si="9">E6*F6</f>
        <v>30.458648</v>
      </c>
      <c r="H6" s="16">
        <v>846.0</v>
      </c>
      <c r="I6" s="17">
        <v>0.050588</v>
      </c>
      <c r="J6" s="10">
        <f t="shared" ref="J6:J15" si="10">H6*I6</f>
        <v>42.797448</v>
      </c>
      <c r="K6" s="24">
        <v>1552.0</v>
      </c>
      <c r="L6" s="21">
        <v>0.060584</v>
      </c>
      <c r="M6" s="14">
        <f t="shared" ref="M6:M14" si="11">K6*L6</f>
        <v>94.026368</v>
      </c>
      <c r="N6" s="24">
        <v>934.0</v>
      </c>
      <c r="O6" s="21">
        <v>0.056021</v>
      </c>
      <c r="P6" s="14">
        <f t="shared" ref="P6:P14" si="12">N6*O6</f>
        <v>52.323614</v>
      </c>
      <c r="Q6" s="24">
        <v>393.0</v>
      </c>
      <c r="R6" s="21">
        <v>0.080931</v>
      </c>
      <c r="S6" s="14">
        <f t="shared" ref="S6:S14" si="13">Q6*R6</f>
        <v>31.805883</v>
      </c>
      <c r="T6" s="24">
        <v>230.0</v>
      </c>
      <c r="U6" s="21">
        <v>0.113847</v>
      </c>
      <c r="V6" s="14">
        <f t="shared" ref="V6:V14" si="14">T6*U6</f>
        <v>26.18481</v>
      </c>
      <c r="W6" s="24"/>
      <c r="X6" s="21"/>
      <c r="Y6" s="14">
        <f t="shared" ref="Y6:Y14" si="15">W6*X6</f>
        <v>0</v>
      </c>
      <c r="Z6" s="1"/>
      <c r="AA6" s="1"/>
      <c r="AB6" s="1"/>
      <c r="AC6" s="1"/>
      <c r="AD6" s="1"/>
      <c r="AE6" s="1"/>
    </row>
    <row r="7">
      <c r="A7" s="26" t="s">
        <v>9</v>
      </c>
      <c r="B7" s="16">
        <v>0.0</v>
      </c>
      <c r="C7" s="17">
        <v>0.044265</v>
      </c>
      <c r="D7" s="10">
        <f t="shared" si="8"/>
        <v>0</v>
      </c>
      <c r="E7" s="18">
        <v>0.0</v>
      </c>
      <c r="F7" s="19">
        <v>0.042779</v>
      </c>
      <c r="G7" s="12">
        <f t="shared" si="9"/>
        <v>0</v>
      </c>
      <c r="H7" s="16">
        <v>0.0</v>
      </c>
      <c r="I7" s="17">
        <v>0.050588</v>
      </c>
      <c r="J7" s="10">
        <f t="shared" si="10"/>
        <v>0</v>
      </c>
      <c r="K7" s="24">
        <v>0.0</v>
      </c>
      <c r="L7" s="21">
        <v>0.060584</v>
      </c>
      <c r="M7" s="14">
        <f t="shared" si="11"/>
        <v>0</v>
      </c>
      <c r="N7" s="24">
        <v>0.0</v>
      </c>
      <c r="O7" s="21">
        <v>0.056021</v>
      </c>
      <c r="P7" s="14">
        <f t="shared" si="12"/>
        <v>0</v>
      </c>
      <c r="Q7" s="24">
        <v>0.0</v>
      </c>
      <c r="R7" s="21">
        <v>0.080931</v>
      </c>
      <c r="S7" s="14">
        <f t="shared" si="13"/>
        <v>0</v>
      </c>
      <c r="T7" s="24">
        <v>0.0</v>
      </c>
      <c r="U7" s="21">
        <v>0.113847</v>
      </c>
      <c r="V7" s="14">
        <f t="shared" si="14"/>
        <v>0</v>
      </c>
      <c r="W7" s="24"/>
      <c r="X7" s="21"/>
      <c r="Y7" s="14">
        <f t="shared" si="15"/>
        <v>0</v>
      </c>
      <c r="Z7" s="1"/>
      <c r="AA7" s="1"/>
      <c r="AB7" s="1"/>
      <c r="AC7" s="1"/>
      <c r="AD7" s="1"/>
      <c r="AE7" s="1"/>
    </row>
    <row r="8">
      <c r="A8" s="26" t="s">
        <v>10</v>
      </c>
      <c r="B8" s="16">
        <v>14.0</v>
      </c>
      <c r="C8" s="17">
        <v>0.044265</v>
      </c>
      <c r="D8" s="10">
        <f t="shared" si="8"/>
        <v>0.61971</v>
      </c>
      <c r="E8" s="18">
        <v>22.0</v>
      </c>
      <c r="F8" s="19">
        <v>0.042779</v>
      </c>
      <c r="G8" s="12">
        <f t="shared" si="9"/>
        <v>0.941138</v>
      </c>
      <c r="H8" s="16">
        <v>0.0</v>
      </c>
      <c r="I8" s="17">
        <v>0.050588</v>
      </c>
      <c r="J8" s="10">
        <f t="shared" si="10"/>
        <v>0</v>
      </c>
      <c r="K8" s="24">
        <v>0.0</v>
      </c>
      <c r="L8" s="21">
        <v>0.060584</v>
      </c>
      <c r="M8" s="14">
        <f t="shared" si="11"/>
        <v>0</v>
      </c>
      <c r="N8" s="24">
        <v>16.0</v>
      </c>
      <c r="O8" s="21">
        <v>0.056021</v>
      </c>
      <c r="P8" s="14">
        <f t="shared" si="12"/>
        <v>0.896336</v>
      </c>
      <c r="Q8" s="24">
        <v>0.0</v>
      </c>
      <c r="R8" s="21">
        <v>0.080931</v>
      </c>
      <c r="S8" s="14">
        <f t="shared" si="13"/>
        <v>0</v>
      </c>
      <c r="T8" s="24">
        <v>0.0</v>
      </c>
      <c r="U8" s="21">
        <v>0.113847</v>
      </c>
      <c r="V8" s="14">
        <f t="shared" si="14"/>
        <v>0</v>
      </c>
      <c r="W8" s="24"/>
      <c r="X8" s="21"/>
      <c r="Y8" s="14">
        <f t="shared" si="15"/>
        <v>0</v>
      </c>
      <c r="Z8" s="1"/>
      <c r="AA8" s="1"/>
      <c r="AB8" s="1"/>
      <c r="AC8" s="1"/>
      <c r="AD8" s="1"/>
      <c r="AE8" s="1"/>
    </row>
    <row r="9">
      <c r="A9" s="26" t="s">
        <v>11</v>
      </c>
      <c r="B9" s="16">
        <v>853.0</v>
      </c>
      <c r="C9" s="17">
        <v>0.044265</v>
      </c>
      <c r="D9" s="10">
        <f t="shared" si="8"/>
        <v>37.758045</v>
      </c>
      <c r="E9" s="18">
        <v>1644.0</v>
      </c>
      <c r="F9" s="19">
        <v>0.042779</v>
      </c>
      <c r="G9" s="12">
        <f t="shared" si="9"/>
        <v>70.328676</v>
      </c>
      <c r="H9" s="16">
        <v>1670.0</v>
      </c>
      <c r="I9" s="17">
        <v>0.050588</v>
      </c>
      <c r="J9" s="10">
        <f t="shared" si="10"/>
        <v>84.48196</v>
      </c>
      <c r="K9" s="24">
        <v>1812.0</v>
      </c>
      <c r="L9" s="21">
        <v>0.060584</v>
      </c>
      <c r="M9" s="14">
        <f t="shared" si="11"/>
        <v>109.778208</v>
      </c>
      <c r="N9" s="24">
        <v>1623.0</v>
      </c>
      <c r="O9" s="21">
        <v>0.056021</v>
      </c>
      <c r="P9" s="14">
        <f t="shared" si="12"/>
        <v>90.922083</v>
      </c>
      <c r="Q9" s="24">
        <v>2172.0</v>
      </c>
      <c r="R9" s="21">
        <v>0.080931</v>
      </c>
      <c r="S9" s="14">
        <f t="shared" si="13"/>
        <v>175.782132</v>
      </c>
      <c r="T9" s="24">
        <v>2982.0</v>
      </c>
      <c r="U9" s="21">
        <v>0.113847</v>
      </c>
      <c r="V9" s="14">
        <f t="shared" si="14"/>
        <v>339.491754</v>
      </c>
      <c r="W9" s="24"/>
      <c r="X9" s="21"/>
      <c r="Y9" s="14">
        <f t="shared" si="15"/>
        <v>0</v>
      </c>
      <c r="Z9" s="1"/>
      <c r="AA9" s="1"/>
      <c r="AB9" s="1"/>
      <c r="AC9" s="1"/>
      <c r="AD9" s="1"/>
      <c r="AE9" s="1"/>
    </row>
    <row r="10">
      <c r="A10" s="26" t="s">
        <v>12</v>
      </c>
      <c r="B10" s="16">
        <v>576.0</v>
      </c>
      <c r="C10" s="17">
        <v>0.044265</v>
      </c>
      <c r="D10" s="10">
        <f t="shared" si="8"/>
        <v>25.49664</v>
      </c>
      <c r="E10" s="18">
        <v>1391.0</v>
      </c>
      <c r="F10" s="19">
        <v>0.042779</v>
      </c>
      <c r="G10" s="12">
        <f t="shared" si="9"/>
        <v>59.505589</v>
      </c>
      <c r="H10" s="16">
        <v>1290.0</v>
      </c>
      <c r="I10" s="17">
        <v>0.050588</v>
      </c>
      <c r="J10" s="10">
        <f t="shared" si="10"/>
        <v>65.25852</v>
      </c>
      <c r="K10" s="24">
        <v>3058.0</v>
      </c>
      <c r="L10" s="21">
        <v>0.060584</v>
      </c>
      <c r="M10" s="14">
        <f t="shared" si="11"/>
        <v>185.265872</v>
      </c>
      <c r="N10" s="24">
        <v>927.0</v>
      </c>
      <c r="O10" s="21">
        <v>0.056021</v>
      </c>
      <c r="P10" s="14">
        <f t="shared" si="12"/>
        <v>51.931467</v>
      </c>
      <c r="Q10" s="24">
        <v>792.0</v>
      </c>
      <c r="R10" s="21">
        <v>0.080931</v>
      </c>
      <c r="S10" s="14">
        <f t="shared" si="13"/>
        <v>64.097352</v>
      </c>
      <c r="T10" s="24">
        <v>1463.0</v>
      </c>
      <c r="U10" s="21">
        <v>0.113847</v>
      </c>
      <c r="V10" s="14">
        <f t="shared" si="14"/>
        <v>166.558161</v>
      </c>
      <c r="W10" s="24"/>
      <c r="X10" s="21"/>
      <c r="Y10" s="14">
        <f t="shared" si="15"/>
        <v>0</v>
      </c>
      <c r="Z10" s="1"/>
      <c r="AA10" s="1"/>
      <c r="AB10" s="1"/>
      <c r="AC10" s="1"/>
      <c r="AD10" s="1"/>
      <c r="AE10" s="1"/>
    </row>
    <row r="11">
      <c r="A11" s="26" t="s">
        <v>13</v>
      </c>
      <c r="B11" s="16">
        <v>307.0</v>
      </c>
      <c r="C11" s="17">
        <v>0.044265</v>
      </c>
      <c r="D11" s="10">
        <f t="shared" si="8"/>
        <v>13.589355</v>
      </c>
      <c r="E11" s="18">
        <v>869.0</v>
      </c>
      <c r="F11" s="19">
        <v>0.042779</v>
      </c>
      <c r="G11" s="12">
        <f t="shared" si="9"/>
        <v>37.174951</v>
      </c>
      <c r="H11" s="16">
        <v>613.0</v>
      </c>
      <c r="I11" s="17">
        <v>0.050588</v>
      </c>
      <c r="J11" s="10">
        <f t="shared" si="10"/>
        <v>31.010444</v>
      </c>
      <c r="K11" s="24">
        <v>581.0</v>
      </c>
      <c r="L11" s="21">
        <v>0.060584</v>
      </c>
      <c r="M11" s="14">
        <f t="shared" si="11"/>
        <v>35.199304</v>
      </c>
      <c r="N11" s="24">
        <v>1131.0</v>
      </c>
      <c r="O11" s="21">
        <v>0.056021</v>
      </c>
      <c r="P11" s="14">
        <f t="shared" si="12"/>
        <v>63.359751</v>
      </c>
      <c r="Q11" s="24">
        <v>1066.0</v>
      </c>
      <c r="R11" s="21">
        <v>0.080931</v>
      </c>
      <c r="S11" s="14">
        <f t="shared" si="13"/>
        <v>86.272446</v>
      </c>
      <c r="T11" s="24">
        <v>1625.0</v>
      </c>
      <c r="U11" s="21">
        <v>0.113847</v>
      </c>
      <c r="V11" s="14">
        <f t="shared" si="14"/>
        <v>185.001375</v>
      </c>
      <c r="W11" s="24"/>
      <c r="X11" s="21"/>
      <c r="Y11" s="14">
        <f t="shared" si="15"/>
        <v>0</v>
      </c>
      <c r="Z11" s="1"/>
      <c r="AA11" s="1"/>
      <c r="AB11" s="1"/>
      <c r="AC11" s="1"/>
      <c r="AD11" s="1"/>
      <c r="AE11" s="1"/>
    </row>
    <row r="12">
      <c r="A12" s="26" t="s">
        <v>14</v>
      </c>
      <c r="B12" s="16">
        <v>123.0</v>
      </c>
      <c r="C12" s="17">
        <v>0.044265</v>
      </c>
      <c r="D12" s="10">
        <f t="shared" si="8"/>
        <v>5.444595</v>
      </c>
      <c r="E12" s="18">
        <v>1331.0</v>
      </c>
      <c r="F12" s="19">
        <v>0.042779</v>
      </c>
      <c r="G12" s="12">
        <f t="shared" si="9"/>
        <v>56.938849</v>
      </c>
      <c r="H12" s="16">
        <v>1533.0</v>
      </c>
      <c r="I12" s="17">
        <v>0.050588</v>
      </c>
      <c r="J12" s="10">
        <f t="shared" si="10"/>
        <v>77.551404</v>
      </c>
      <c r="K12" s="24">
        <v>2275.0</v>
      </c>
      <c r="L12" s="21">
        <v>0.060584</v>
      </c>
      <c r="M12" s="14">
        <f t="shared" si="11"/>
        <v>137.8286</v>
      </c>
      <c r="N12" s="24">
        <v>1421.0</v>
      </c>
      <c r="O12" s="21">
        <v>0.056021</v>
      </c>
      <c r="P12" s="14">
        <f t="shared" si="12"/>
        <v>79.605841</v>
      </c>
      <c r="Q12" s="24">
        <v>1067.0</v>
      </c>
      <c r="R12" s="21">
        <v>0.080931</v>
      </c>
      <c r="S12" s="14">
        <f t="shared" si="13"/>
        <v>86.353377</v>
      </c>
      <c r="T12" s="24">
        <v>1297.0</v>
      </c>
      <c r="U12" s="21">
        <v>0.113847</v>
      </c>
      <c r="V12" s="14">
        <f t="shared" si="14"/>
        <v>147.659559</v>
      </c>
      <c r="W12" s="24"/>
      <c r="X12" s="21"/>
      <c r="Y12" s="14">
        <f t="shared" si="15"/>
        <v>0</v>
      </c>
      <c r="Z12" s="1"/>
      <c r="AA12" s="1"/>
      <c r="AB12" s="1"/>
      <c r="AC12" s="1"/>
      <c r="AD12" s="1"/>
      <c r="AE12" s="1"/>
    </row>
    <row r="13">
      <c r="A13" s="8" t="s">
        <v>15</v>
      </c>
      <c r="B13" s="16">
        <v>1.0</v>
      </c>
      <c r="C13" s="17">
        <v>91.23</v>
      </c>
      <c r="D13" s="9">
        <f>(B13*C13)*3/18</f>
        <v>15.205</v>
      </c>
      <c r="E13" s="18">
        <v>1.0</v>
      </c>
      <c r="F13" s="19">
        <v>63.77</v>
      </c>
      <c r="G13" s="11">
        <f t="shared" si="9"/>
        <v>63.77</v>
      </c>
      <c r="H13" s="16">
        <v>1.0</v>
      </c>
      <c r="I13" s="17">
        <v>68.98</v>
      </c>
      <c r="J13" s="9">
        <f t="shared" si="10"/>
        <v>68.98</v>
      </c>
      <c r="K13" s="20">
        <v>1.0</v>
      </c>
      <c r="L13" s="21">
        <v>73.07</v>
      </c>
      <c r="M13" s="27">
        <f t="shared" si="11"/>
        <v>73.07</v>
      </c>
      <c r="N13" s="20">
        <v>1.0</v>
      </c>
      <c r="O13" s="21">
        <v>76.48</v>
      </c>
      <c r="P13" s="27">
        <f t="shared" si="12"/>
        <v>76.48</v>
      </c>
      <c r="Q13" s="20">
        <v>1.0</v>
      </c>
      <c r="R13" s="21">
        <v>79.57</v>
      </c>
      <c r="S13" s="27">
        <f t="shared" si="13"/>
        <v>79.57</v>
      </c>
      <c r="T13" s="20">
        <v>1.0</v>
      </c>
      <c r="U13" s="21">
        <v>89.72</v>
      </c>
      <c r="V13" s="27">
        <f t="shared" si="14"/>
        <v>89.72</v>
      </c>
      <c r="W13" s="20">
        <v>1.0</v>
      </c>
      <c r="X13" s="21"/>
      <c r="Y13" s="27">
        <f t="shared" si="15"/>
        <v>0</v>
      </c>
      <c r="Z13" s="1"/>
      <c r="AA13" s="1"/>
      <c r="AB13" s="1"/>
      <c r="AC13" s="1"/>
      <c r="AD13" s="1"/>
      <c r="AE13" s="1"/>
    </row>
    <row r="14">
      <c r="A14" s="8" t="s">
        <v>16</v>
      </c>
      <c r="B14" s="16">
        <v>1.0</v>
      </c>
      <c r="C14" s="17">
        <v>85.86</v>
      </c>
      <c r="D14" s="9">
        <f>(B14*C14)*3/12</f>
        <v>21.465</v>
      </c>
      <c r="E14" s="18">
        <v>1.0</v>
      </c>
      <c r="F14" s="19">
        <v>80.71</v>
      </c>
      <c r="G14" s="11">
        <f t="shared" si="9"/>
        <v>80.71</v>
      </c>
      <c r="H14" s="16">
        <v>1.0</v>
      </c>
      <c r="I14" s="17">
        <v>88.43</v>
      </c>
      <c r="J14" s="9">
        <f t="shared" si="10"/>
        <v>88.43</v>
      </c>
      <c r="K14" s="20">
        <v>1.0</v>
      </c>
      <c r="L14" s="21">
        <v>92.73</v>
      </c>
      <c r="M14" s="27">
        <f t="shared" si="11"/>
        <v>92.73</v>
      </c>
      <c r="N14" s="20">
        <v>1.0</v>
      </c>
      <c r="O14" s="21">
        <v>87.58</v>
      </c>
      <c r="P14" s="27">
        <f t="shared" si="12"/>
        <v>87.58</v>
      </c>
      <c r="Q14" s="20">
        <v>1.0</v>
      </c>
      <c r="R14" s="21">
        <v>85.86</v>
      </c>
      <c r="S14" s="27">
        <f t="shared" si="13"/>
        <v>85.86</v>
      </c>
      <c r="T14" s="20">
        <v>1.0</v>
      </c>
      <c r="U14" s="21">
        <v>85.86</v>
      </c>
      <c r="V14" s="27">
        <f t="shared" si="14"/>
        <v>85.86</v>
      </c>
      <c r="W14" s="20">
        <v>1.0</v>
      </c>
      <c r="X14" s="21"/>
      <c r="Y14" s="27">
        <f t="shared" si="15"/>
        <v>0</v>
      </c>
      <c r="Z14" s="1"/>
      <c r="AA14" s="1"/>
      <c r="AB14" s="1"/>
      <c r="AC14" s="1"/>
      <c r="AD14" s="1"/>
      <c r="AE14" s="1"/>
    </row>
    <row r="15">
      <c r="A15" s="8" t="s">
        <v>17</v>
      </c>
      <c r="B15" s="16">
        <f>B16+B21</f>
        <v>35.108</v>
      </c>
      <c r="C15" s="17"/>
      <c r="D15" s="9">
        <f t="shared" ref="D15:E15" si="16">D16+D21</f>
        <v>133.3206342</v>
      </c>
      <c r="E15" s="18">
        <f t="shared" si="16"/>
        <v>102.68</v>
      </c>
      <c r="F15" s="19">
        <v>6.0443746</v>
      </c>
      <c r="G15" s="11">
        <f t="shared" si="9"/>
        <v>620.6363839</v>
      </c>
      <c r="H15" s="16">
        <f>H16+H21</f>
        <v>57.79</v>
      </c>
      <c r="I15" s="17">
        <v>5.89891504</v>
      </c>
      <c r="J15" s="9">
        <f t="shared" si="10"/>
        <v>340.8983002</v>
      </c>
      <c r="K15" s="20"/>
      <c r="L15" s="28"/>
      <c r="M15" s="27">
        <f>M16+M21</f>
        <v>0</v>
      </c>
      <c r="N15" s="20"/>
      <c r="O15" s="28"/>
      <c r="P15" s="27">
        <f>P16+P21</f>
        <v>213.6520411</v>
      </c>
      <c r="Q15" s="20"/>
      <c r="R15" s="28"/>
      <c r="S15" s="27">
        <v>356.76</v>
      </c>
      <c r="T15" s="20"/>
      <c r="U15" s="28"/>
      <c r="V15" s="27">
        <v>283.48</v>
      </c>
      <c r="W15" s="20"/>
      <c r="X15" s="28"/>
      <c r="Y15" s="27">
        <v>283.48</v>
      </c>
      <c r="Z15" s="1"/>
      <c r="AA15" s="1"/>
      <c r="AB15" s="1"/>
      <c r="AC15" s="1"/>
      <c r="AD15" s="1"/>
      <c r="AE15" s="1"/>
    </row>
    <row r="16">
      <c r="A16" s="3" t="s">
        <v>18</v>
      </c>
      <c r="B16" s="29">
        <f>B19</f>
        <v>18.147</v>
      </c>
      <c r="C16" s="22"/>
      <c r="D16" s="10">
        <f>D17+D18</f>
        <v>133.3206342</v>
      </c>
      <c r="E16" s="30">
        <f>E19</f>
        <v>50.96</v>
      </c>
      <c r="F16" s="23"/>
      <c r="G16" s="12">
        <f>G17+G18</f>
        <v>353.6350598</v>
      </c>
      <c r="H16" s="29">
        <f>H19</f>
        <v>19.24</v>
      </c>
      <c r="I16" s="22"/>
      <c r="J16" s="10">
        <f>J17+J18</f>
        <v>170.2427687</v>
      </c>
      <c r="K16" s="31"/>
      <c r="L16" s="25"/>
      <c r="M16" s="14">
        <f>M17+M18</f>
        <v>0</v>
      </c>
      <c r="N16" s="31"/>
      <c r="O16" s="25"/>
      <c r="P16" s="14">
        <f>P17+P18</f>
        <v>213.6520411</v>
      </c>
      <c r="Q16" s="31"/>
      <c r="R16" s="25"/>
      <c r="S16" s="14">
        <f>S17+S18</f>
        <v>234.6321294</v>
      </c>
      <c r="T16" s="31"/>
      <c r="U16" s="25"/>
      <c r="V16" s="14">
        <f>V17+V18</f>
        <v>226.7950114</v>
      </c>
      <c r="W16" s="31"/>
      <c r="X16" s="25"/>
      <c r="Y16" s="14">
        <f>Y17+Y18</f>
        <v>226.7950114</v>
      </c>
      <c r="Z16" s="1"/>
      <c r="AA16" s="1"/>
      <c r="AB16" s="1"/>
      <c r="AC16" s="1"/>
      <c r="AD16" s="1"/>
      <c r="AE16" s="1"/>
    </row>
    <row r="17">
      <c r="A17" s="3" t="s">
        <v>19</v>
      </c>
      <c r="B17" s="16">
        <v>81.0</v>
      </c>
      <c r="C17" s="17">
        <v>0.589922</v>
      </c>
      <c r="D17" s="10">
        <f>(B17*C17)*92/365</f>
        <v>12.04410615</v>
      </c>
      <c r="E17" s="18">
        <v>81.0</v>
      </c>
      <c r="F17" s="19">
        <v>0.63559</v>
      </c>
      <c r="G17" s="12">
        <f>(E17*F17)</f>
        <v>51.48279</v>
      </c>
      <c r="H17" s="16">
        <v>81.0</v>
      </c>
      <c r="I17" s="17">
        <v>0.565655</v>
      </c>
      <c r="J17" s="10">
        <f>H17*I17</f>
        <v>45.818055</v>
      </c>
      <c r="K17" s="20">
        <v>81.0</v>
      </c>
      <c r="L17" s="21">
        <v>0.0</v>
      </c>
      <c r="M17" s="14">
        <f>(K17*L17)</f>
        <v>0</v>
      </c>
      <c r="N17" s="20">
        <v>81.0</v>
      </c>
      <c r="O17" s="21">
        <v>0.391725</v>
      </c>
      <c r="P17" s="14">
        <f>(N17*O17)</f>
        <v>31.729725</v>
      </c>
      <c r="Q17" s="20">
        <v>81.0</v>
      </c>
      <c r="R17" s="21">
        <v>0.437782</v>
      </c>
      <c r="S17" s="14">
        <f>(Q17*R17)</f>
        <v>35.460342</v>
      </c>
      <c r="T17" s="20">
        <v>81.0</v>
      </c>
      <c r="U17" s="21">
        <v>0.772555</v>
      </c>
      <c r="V17" s="14">
        <f>(T17*U17)</f>
        <v>62.576955</v>
      </c>
      <c r="W17" s="20">
        <v>81.0</v>
      </c>
      <c r="X17" s="21">
        <v>0.772555</v>
      </c>
      <c r="Y17" s="14">
        <f>(W17*X17)</f>
        <v>62.576955</v>
      </c>
      <c r="Z17" s="1"/>
      <c r="AA17" s="1"/>
      <c r="AB17" s="1"/>
      <c r="AC17" s="1"/>
      <c r="AD17" s="1"/>
      <c r="AE17" s="1"/>
    </row>
    <row r="18">
      <c r="A18" s="3" t="s">
        <v>20</v>
      </c>
      <c r="B18" s="29">
        <f>SUM(B19)</f>
        <v>18.147</v>
      </c>
      <c r="C18" s="22"/>
      <c r="D18" s="10">
        <f>SUM(D19:D20)</f>
        <v>121.2765281</v>
      </c>
      <c r="E18" s="30">
        <f>SUM(E19)</f>
        <v>50.96</v>
      </c>
      <c r="F18" s="23"/>
      <c r="G18" s="12">
        <f>SUM(G19:G20)</f>
        <v>302.1522698</v>
      </c>
      <c r="H18" s="29">
        <f>SUM(H19)</f>
        <v>19.24</v>
      </c>
      <c r="I18" s="22"/>
      <c r="J18" s="10">
        <f>SUM(J19:J20)</f>
        <v>124.4247137</v>
      </c>
      <c r="K18" s="32">
        <f>SUM(K19)</f>
        <v>4.095</v>
      </c>
      <c r="L18" s="25"/>
      <c r="M18" s="14">
        <f>SUM(M19:M20)</f>
        <v>0</v>
      </c>
      <c r="N18" s="32">
        <f>SUM(N19)</f>
        <v>30.597</v>
      </c>
      <c r="O18" s="25"/>
      <c r="P18" s="14">
        <f>SUM(P19:P20)</f>
        <v>181.9223161</v>
      </c>
      <c r="Q18" s="32">
        <f>SUM(Q19)</f>
        <v>23.518</v>
      </c>
      <c r="R18" s="25"/>
      <c r="S18" s="14">
        <f>SUM(S19:S20)</f>
        <v>199.1717874</v>
      </c>
      <c r="T18" s="32">
        <f>SUM(T19)</f>
        <v>8.409</v>
      </c>
      <c r="U18" s="25"/>
      <c r="V18" s="14">
        <f>SUM(V19:V20)</f>
        <v>164.2180564</v>
      </c>
      <c r="W18" s="32">
        <f>SUM(W19)</f>
        <v>8.409</v>
      </c>
      <c r="X18" s="25"/>
      <c r="Y18" s="14">
        <f>SUM(Y19:Y20)</f>
        <v>164.2180564</v>
      </c>
      <c r="Z18" s="1"/>
      <c r="AA18" s="1"/>
      <c r="AB18" s="1"/>
      <c r="AC18" s="1"/>
      <c r="AD18" s="1"/>
      <c r="AE18" s="1"/>
    </row>
    <row r="19">
      <c r="A19" s="8" t="s">
        <v>21</v>
      </c>
      <c r="B19" s="16">
        <v>18.147</v>
      </c>
      <c r="C19" s="17">
        <v>6.483475</v>
      </c>
      <c r="D19" s="10">
        <f>B19*C19</f>
        <v>117.6556208</v>
      </c>
      <c r="E19" s="18">
        <v>50.96</v>
      </c>
      <c r="F19" s="19">
        <v>5.647306</v>
      </c>
      <c r="G19" s="12">
        <f>E19*F19</f>
        <v>287.7867138</v>
      </c>
      <c r="H19" s="16">
        <v>19.24</v>
      </c>
      <c r="I19" s="17">
        <v>5.739157</v>
      </c>
      <c r="J19" s="10">
        <f t="shared" ref="J19:J20" si="17">H19*I19</f>
        <v>110.4213807</v>
      </c>
      <c r="K19" s="24">
        <v>4.095</v>
      </c>
      <c r="L19" s="21">
        <v>0.0</v>
      </c>
      <c r="M19" s="14">
        <f>K19*L19</f>
        <v>0</v>
      </c>
      <c r="N19" s="24">
        <v>30.597</v>
      </c>
      <c r="O19" s="21">
        <v>5.476248</v>
      </c>
      <c r="P19" s="14">
        <f>N19*O19</f>
        <v>167.5567601</v>
      </c>
      <c r="Q19" s="24">
        <v>23.518</v>
      </c>
      <c r="R19" s="21">
        <v>7.858076</v>
      </c>
      <c r="S19" s="14">
        <f>Q19*R19</f>
        <v>184.8062314</v>
      </c>
      <c r="T19" s="24">
        <v>8.409</v>
      </c>
      <c r="U19" s="21">
        <v>17.82049</v>
      </c>
      <c r="V19" s="14">
        <f>T19*U19</f>
        <v>149.8525004</v>
      </c>
      <c r="W19" s="24">
        <v>8.409</v>
      </c>
      <c r="X19" s="21">
        <v>17.82049</v>
      </c>
      <c r="Y19" s="14">
        <f>W19*X19</f>
        <v>149.8525004</v>
      </c>
      <c r="Z19" s="1"/>
      <c r="AA19" s="1"/>
      <c r="AB19" s="1"/>
      <c r="AC19" s="1"/>
      <c r="AD19" s="1"/>
      <c r="AE19" s="1"/>
    </row>
    <row r="20">
      <c r="A20" s="8" t="s">
        <v>22</v>
      </c>
      <c r="B20" s="16">
        <v>1.0</v>
      </c>
      <c r="C20" s="17">
        <v>14.365556</v>
      </c>
      <c r="D20" s="9">
        <f>(B20*C20)*(92/365)</f>
        <v>3.620907266</v>
      </c>
      <c r="E20" s="18">
        <v>1.0</v>
      </c>
      <c r="F20" s="19">
        <v>14.365556</v>
      </c>
      <c r="G20" s="11">
        <f>(E20*F20)</f>
        <v>14.365556</v>
      </c>
      <c r="H20" s="16">
        <v>1.0</v>
      </c>
      <c r="I20" s="17">
        <v>14.003333</v>
      </c>
      <c r="J20" s="9">
        <f t="shared" si="17"/>
        <v>14.003333</v>
      </c>
      <c r="K20" s="20">
        <v>1.0</v>
      </c>
      <c r="L20" s="21">
        <v>0.0</v>
      </c>
      <c r="M20" s="27">
        <f>(K20*L20)</f>
        <v>0</v>
      </c>
      <c r="N20" s="20">
        <v>1.0</v>
      </c>
      <c r="O20" s="21">
        <v>14.365556</v>
      </c>
      <c r="P20" s="27">
        <f>(N20*O20)</f>
        <v>14.365556</v>
      </c>
      <c r="Q20" s="20">
        <v>1.0</v>
      </c>
      <c r="R20" s="21">
        <v>14.365556</v>
      </c>
      <c r="S20" s="27">
        <f>(Q20*R20)</f>
        <v>14.365556</v>
      </c>
      <c r="T20" s="20">
        <v>1.0</v>
      </c>
      <c r="U20" s="21">
        <v>14.365556</v>
      </c>
      <c r="V20" s="27">
        <f>(T20*U20)</f>
        <v>14.365556</v>
      </c>
      <c r="W20" s="20">
        <v>1.0</v>
      </c>
      <c r="X20" s="21">
        <v>14.365556</v>
      </c>
      <c r="Y20" s="27">
        <f>(W20*X20)</f>
        <v>14.365556</v>
      </c>
      <c r="Z20" s="1"/>
      <c r="AA20" s="1"/>
      <c r="AB20" s="1"/>
      <c r="AC20" s="1"/>
      <c r="AD20" s="1"/>
      <c r="AE20" s="1"/>
    </row>
    <row r="21">
      <c r="A21" s="3" t="s">
        <v>23</v>
      </c>
      <c r="B21" s="29">
        <f>SUM(B22:B23)</f>
        <v>16.961</v>
      </c>
      <c r="C21" s="22"/>
      <c r="D21" s="10">
        <f t="shared" ref="D21:E21" si="18">SUM(D22:D23)</f>
        <v>0</v>
      </c>
      <c r="E21" s="30">
        <f t="shared" si="18"/>
        <v>51.72</v>
      </c>
      <c r="F21" s="23"/>
      <c r="G21" s="12">
        <f t="shared" ref="G21:H21" si="19">SUM(G22:G23)</f>
        <v>312.6150543</v>
      </c>
      <c r="H21" s="29">
        <f t="shared" si="19"/>
        <v>38.55</v>
      </c>
      <c r="I21" s="22"/>
      <c r="J21" s="10">
        <f t="shared" ref="J21:K21" si="20">SUM(J22:J23)</f>
        <v>227.4031748</v>
      </c>
      <c r="K21" s="32">
        <f t="shared" si="20"/>
        <v>33.999</v>
      </c>
      <c r="L21" s="25"/>
      <c r="M21" s="14">
        <f t="shared" ref="M21:N21" si="21">SUM(M22:M23)</f>
        <v>0</v>
      </c>
      <c r="N21" s="32">
        <f t="shared" si="21"/>
        <v>27.113</v>
      </c>
      <c r="O21" s="25"/>
      <c r="P21" s="14">
        <f t="shared" ref="P21:Q21" si="22">SUM(P22:P23)</f>
        <v>0</v>
      </c>
      <c r="Q21" s="32">
        <f t="shared" si="22"/>
        <v>27.157</v>
      </c>
      <c r="R21" s="25"/>
      <c r="S21" s="14">
        <f t="shared" ref="S21:T21" si="23">SUM(S22:S23)</f>
        <v>27.157</v>
      </c>
      <c r="T21" s="31">
        <f t="shared" si="23"/>
        <v>26.155</v>
      </c>
      <c r="U21" s="25"/>
      <c r="V21" s="14">
        <f t="shared" ref="V21:W21" si="24">SUM(V22:V23)</f>
        <v>26.155</v>
      </c>
      <c r="W21" s="31">
        <f t="shared" si="24"/>
        <v>26.155</v>
      </c>
      <c r="X21" s="25"/>
      <c r="Y21" s="14">
        <f>SUM(Y22:Y23)</f>
        <v>26.155</v>
      </c>
      <c r="Z21" s="1"/>
      <c r="AA21" s="1"/>
      <c r="AB21" s="1"/>
      <c r="AC21" s="1"/>
      <c r="AD21" s="1"/>
      <c r="AE21" s="1"/>
    </row>
    <row r="22">
      <c r="A22" s="8" t="s">
        <v>24</v>
      </c>
      <c r="B22" s="16">
        <v>13.64</v>
      </c>
      <c r="C22" s="17">
        <v>0.0</v>
      </c>
      <c r="D22" s="9">
        <f t="shared" ref="D22:D24" si="25">B22*C22</f>
        <v>0</v>
      </c>
      <c r="E22" s="18">
        <v>42.8</v>
      </c>
      <c r="F22" s="19">
        <v>6.0443746</v>
      </c>
      <c r="G22" s="11">
        <f t="shared" ref="G22:G30" si="26">E22*F22</f>
        <v>258.6992329</v>
      </c>
      <c r="H22" s="16">
        <v>32.59</v>
      </c>
      <c r="I22" s="17">
        <v>5.89891504</v>
      </c>
      <c r="J22" s="9">
        <f t="shared" ref="J22:J30" si="27">H22*I22</f>
        <v>192.2456412</v>
      </c>
      <c r="K22" s="24">
        <v>29.741</v>
      </c>
      <c r="L22" s="21">
        <v>0.0</v>
      </c>
      <c r="M22" s="27">
        <f t="shared" ref="M22:M30" si="28">K22*L22</f>
        <v>0</v>
      </c>
      <c r="N22" s="24">
        <v>23.439</v>
      </c>
      <c r="O22" s="21">
        <v>0.0</v>
      </c>
      <c r="P22" s="27">
        <f t="shared" ref="P22:P30" si="29">N22*O22</f>
        <v>0</v>
      </c>
      <c r="Q22" s="24">
        <v>24.918</v>
      </c>
      <c r="R22" s="21">
        <v>1.0</v>
      </c>
      <c r="S22" s="27">
        <f t="shared" ref="S22:S30" si="30">Q22*R22</f>
        <v>24.918</v>
      </c>
      <c r="T22" s="24">
        <v>23.815</v>
      </c>
      <c r="U22" s="21">
        <v>1.0</v>
      </c>
      <c r="V22" s="27">
        <f t="shared" ref="V22:V23" si="31">T22*U22</f>
        <v>23.815</v>
      </c>
      <c r="W22" s="24">
        <v>23.815</v>
      </c>
      <c r="X22" s="21">
        <v>1.0</v>
      </c>
      <c r="Y22" s="27">
        <f t="shared" ref="Y22:Y23" si="32">W22*X22</f>
        <v>23.815</v>
      </c>
      <c r="Z22" s="1"/>
      <c r="AA22" s="1"/>
      <c r="AB22" s="1"/>
      <c r="AC22" s="1"/>
      <c r="AD22" s="1"/>
      <c r="AE22" s="1"/>
    </row>
    <row r="23">
      <c r="A23" s="8" t="s">
        <v>25</v>
      </c>
      <c r="B23" s="16">
        <v>3.321</v>
      </c>
      <c r="C23" s="17">
        <v>0.0</v>
      </c>
      <c r="D23" s="9">
        <f t="shared" si="25"/>
        <v>0</v>
      </c>
      <c r="E23" s="18">
        <v>8.92</v>
      </c>
      <c r="F23" s="19">
        <v>6.0443746</v>
      </c>
      <c r="G23" s="11">
        <f t="shared" si="26"/>
        <v>53.91582143</v>
      </c>
      <c r="H23" s="16">
        <v>5.96</v>
      </c>
      <c r="I23" s="17">
        <v>5.89891504</v>
      </c>
      <c r="J23" s="9">
        <f t="shared" si="27"/>
        <v>35.15753364</v>
      </c>
      <c r="K23" s="24">
        <v>4.258</v>
      </c>
      <c r="L23" s="21">
        <v>0.0</v>
      </c>
      <c r="M23" s="27">
        <f t="shared" si="28"/>
        <v>0</v>
      </c>
      <c r="N23" s="24">
        <v>3.674</v>
      </c>
      <c r="O23" s="21">
        <v>0.0</v>
      </c>
      <c r="P23" s="27">
        <f t="shared" si="29"/>
        <v>0</v>
      </c>
      <c r="Q23" s="24">
        <v>2.239</v>
      </c>
      <c r="R23" s="21">
        <v>1.0</v>
      </c>
      <c r="S23" s="27">
        <f t="shared" si="30"/>
        <v>2.239</v>
      </c>
      <c r="T23" s="24">
        <v>2.34</v>
      </c>
      <c r="U23" s="21">
        <v>1.0</v>
      </c>
      <c r="V23" s="27">
        <f t="shared" si="31"/>
        <v>2.34</v>
      </c>
      <c r="W23" s="24">
        <v>2.34</v>
      </c>
      <c r="X23" s="21">
        <v>1.0</v>
      </c>
      <c r="Y23" s="27">
        <f t="shared" si="32"/>
        <v>2.34</v>
      </c>
      <c r="Z23" s="1"/>
      <c r="AA23" s="1"/>
      <c r="AB23" s="1"/>
      <c r="AC23" s="1"/>
      <c r="AD23" s="1"/>
      <c r="AE23" s="1"/>
    </row>
    <row r="24">
      <c r="A24" s="8" t="s">
        <v>26</v>
      </c>
      <c r="B24" s="16">
        <v>1.0</v>
      </c>
      <c r="C24" s="17">
        <v>9.049091</v>
      </c>
      <c r="D24" s="9">
        <f t="shared" si="25"/>
        <v>9.049091</v>
      </c>
      <c r="E24" s="18">
        <v>1.0</v>
      </c>
      <c r="F24" s="19">
        <v>11.06</v>
      </c>
      <c r="G24" s="11">
        <f t="shared" si="26"/>
        <v>11.06</v>
      </c>
      <c r="H24" s="16">
        <v>1.0</v>
      </c>
      <c r="I24" s="17">
        <v>10.78</v>
      </c>
      <c r="J24" s="9">
        <f t="shared" si="27"/>
        <v>10.78</v>
      </c>
      <c r="K24" s="20">
        <v>1.0</v>
      </c>
      <c r="L24" s="21">
        <v>0.0</v>
      </c>
      <c r="M24" s="27">
        <f t="shared" si="28"/>
        <v>0</v>
      </c>
      <c r="N24" s="20">
        <v>1.0</v>
      </c>
      <c r="O24" s="21">
        <v>11.06</v>
      </c>
      <c r="P24" s="27">
        <f t="shared" si="29"/>
        <v>11.06</v>
      </c>
      <c r="Q24" s="20">
        <v>1.0</v>
      </c>
      <c r="R24" s="21">
        <v>11.06</v>
      </c>
      <c r="S24" s="27">
        <f t="shared" si="30"/>
        <v>11.06</v>
      </c>
      <c r="T24" s="20">
        <v>1.0</v>
      </c>
      <c r="U24" s="21">
        <v>50.02</v>
      </c>
      <c r="V24" s="27">
        <v>15.75</v>
      </c>
      <c r="W24" s="20">
        <v>1.0</v>
      </c>
      <c r="X24" s="21">
        <v>50.02</v>
      </c>
      <c r="Y24" s="27">
        <v>15.75</v>
      </c>
      <c r="Z24" s="1"/>
      <c r="AA24" s="1"/>
      <c r="AB24" s="1"/>
      <c r="AC24" s="1"/>
      <c r="AD24" s="1"/>
      <c r="AE24" s="1"/>
    </row>
    <row r="25">
      <c r="A25" s="8" t="s">
        <v>27</v>
      </c>
      <c r="B25" s="16">
        <v>1.0</v>
      </c>
      <c r="C25" s="17">
        <v>23.42</v>
      </c>
      <c r="D25" s="9">
        <f t="shared" ref="D25:D28" si="33">(B25*C25)*3/12</f>
        <v>5.855</v>
      </c>
      <c r="E25" s="18">
        <v>1.0</v>
      </c>
      <c r="F25" s="19">
        <v>25.85</v>
      </c>
      <c r="G25" s="11">
        <f t="shared" si="26"/>
        <v>25.85</v>
      </c>
      <c r="H25" s="16">
        <v>1.0</v>
      </c>
      <c r="I25" s="17">
        <v>26.48</v>
      </c>
      <c r="J25" s="9">
        <f t="shared" si="27"/>
        <v>26.48</v>
      </c>
      <c r="K25" s="20">
        <v>1.0</v>
      </c>
      <c r="L25" s="21">
        <v>21.58</v>
      </c>
      <c r="M25" s="27">
        <f t="shared" si="28"/>
        <v>21.58</v>
      </c>
      <c r="N25" s="20">
        <v>1.0</v>
      </c>
      <c r="O25" s="21">
        <v>22.66</v>
      </c>
      <c r="P25" s="27">
        <f t="shared" si="29"/>
        <v>22.66</v>
      </c>
      <c r="Q25" s="20">
        <v>1.0</v>
      </c>
      <c r="R25" s="21">
        <v>16.14</v>
      </c>
      <c r="S25" s="27">
        <f t="shared" si="30"/>
        <v>16.14</v>
      </c>
      <c r="T25" s="20">
        <v>1.0</v>
      </c>
      <c r="U25" s="21">
        <v>9.24</v>
      </c>
      <c r="V25" s="27">
        <f t="shared" ref="V25:V27" si="34">T25*U25</f>
        <v>9.24</v>
      </c>
      <c r="W25" s="20">
        <v>1.0</v>
      </c>
      <c r="X25" s="21">
        <v>9.24</v>
      </c>
      <c r="Y25" s="27">
        <f t="shared" ref="Y25:Y27" si="35">W25*X25</f>
        <v>9.24</v>
      </c>
      <c r="Z25" s="1"/>
      <c r="AA25" s="1"/>
      <c r="AB25" s="1"/>
      <c r="AC25" s="1"/>
      <c r="AD25" s="1"/>
      <c r="AE25" s="1"/>
    </row>
    <row r="26">
      <c r="A26" s="8" t="s">
        <v>28</v>
      </c>
      <c r="B26" s="16">
        <v>1.0</v>
      </c>
      <c r="C26" s="17">
        <v>96.84</v>
      </c>
      <c r="D26" s="9">
        <f t="shared" si="33"/>
        <v>24.21</v>
      </c>
      <c r="E26" s="18">
        <v>1.0</v>
      </c>
      <c r="F26" s="19">
        <v>147.27</v>
      </c>
      <c r="G26" s="11">
        <f t="shared" si="26"/>
        <v>147.27</v>
      </c>
      <c r="H26" s="16">
        <v>1.0</v>
      </c>
      <c r="I26" s="17">
        <v>226.25</v>
      </c>
      <c r="J26" s="9">
        <f t="shared" si="27"/>
        <v>226.25</v>
      </c>
      <c r="K26" s="20">
        <v>1.0</v>
      </c>
      <c r="L26" s="21">
        <v>209.48</v>
      </c>
      <c r="M26" s="27">
        <f t="shared" si="28"/>
        <v>209.48</v>
      </c>
      <c r="N26" s="20">
        <v>1.0</v>
      </c>
      <c r="O26" s="21">
        <v>221.35</v>
      </c>
      <c r="P26" s="27">
        <f t="shared" si="29"/>
        <v>221.35</v>
      </c>
      <c r="Q26" s="20">
        <v>1.0</v>
      </c>
      <c r="R26" s="21">
        <v>261.89</v>
      </c>
      <c r="S26" s="27">
        <f t="shared" si="30"/>
        <v>261.89</v>
      </c>
      <c r="T26" s="20">
        <v>1.0</v>
      </c>
      <c r="U26" s="21">
        <v>287.87</v>
      </c>
      <c r="V26" s="27">
        <f t="shared" si="34"/>
        <v>287.87</v>
      </c>
      <c r="W26" s="20">
        <v>1.0</v>
      </c>
      <c r="X26" s="21">
        <v>287.87</v>
      </c>
      <c r="Y26" s="27">
        <f t="shared" si="35"/>
        <v>287.87</v>
      </c>
      <c r="Z26" s="1"/>
      <c r="AA26" s="1"/>
      <c r="AB26" s="1"/>
      <c r="AC26" s="1"/>
      <c r="AD26" s="1"/>
      <c r="AE26" s="1"/>
    </row>
    <row r="27">
      <c r="A27" s="8" t="s">
        <v>29</v>
      </c>
      <c r="B27" s="16">
        <v>1.0</v>
      </c>
      <c r="C27" s="17">
        <v>379.59</v>
      </c>
      <c r="D27" s="9">
        <f t="shared" si="33"/>
        <v>94.8975</v>
      </c>
      <c r="E27" s="18">
        <v>1.0</v>
      </c>
      <c r="F27" s="19">
        <v>418.12</v>
      </c>
      <c r="G27" s="11">
        <f t="shared" si="26"/>
        <v>418.12</v>
      </c>
      <c r="H27" s="16">
        <v>1.0</v>
      </c>
      <c r="I27" s="17">
        <v>397.87</v>
      </c>
      <c r="J27" s="9">
        <f t="shared" si="27"/>
        <v>397.87</v>
      </c>
      <c r="K27" s="20">
        <v>1.0</v>
      </c>
      <c r="L27" s="21">
        <v>356.74</v>
      </c>
      <c r="M27" s="27">
        <f t="shared" si="28"/>
        <v>356.74</v>
      </c>
      <c r="N27" s="20">
        <v>1.0</v>
      </c>
      <c r="O27" s="21">
        <v>408.0</v>
      </c>
      <c r="P27" s="27">
        <f t="shared" si="29"/>
        <v>408</v>
      </c>
      <c r="Q27" s="20">
        <v>1.0</v>
      </c>
      <c r="R27" s="21">
        <v>471.25</v>
      </c>
      <c r="S27" s="27">
        <f t="shared" si="30"/>
        <v>471.25</v>
      </c>
      <c r="T27" s="20">
        <v>1.0</v>
      </c>
      <c r="U27" s="21">
        <v>407.57</v>
      </c>
      <c r="V27" s="27">
        <f t="shared" si="34"/>
        <v>407.57</v>
      </c>
      <c r="W27" s="20">
        <v>1.0</v>
      </c>
      <c r="X27" s="21">
        <v>407.57</v>
      </c>
      <c r="Y27" s="27">
        <f t="shared" si="35"/>
        <v>407.57</v>
      </c>
      <c r="Z27" s="1"/>
      <c r="AA27" s="1"/>
      <c r="AB27" s="1"/>
      <c r="AC27" s="1"/>
      <c r="AD27" s="1"/>
      <c r="AE27" s="1"/>
    </row>
    <row r="28">
      <c r="A28" s="8" t="s">
        <v>30</v>
      </c>
      <c r="B28" s="16">
        <v>1.0</v>
      </c>
      <c r="C28" s="17">
        <v>24.47</v>
      </c>
      <c r="D28" s="9">
        <f t="shared" si="33"/>
        <v>6.1175</v>
      </c>
      <c r="E28" s="18">
        <v>1.0</v>
      </c>
      <c r="F28" s="19">
        <v>12.23</v>
      </c>
      <c r="G28" s="11">
        <f t="shared" si="26"/>
        <v>12.23</v>
      </c>
      <c r="H28" s="16">
        <v>1.0</v>
      </c>
      <c r="I28" s="17">
        <v>22.72</v>
      </c>
      <c r="J28" s="9">
        <f t="shared" si="27"/>
        <v>22.72</v>
      </c>
      <c r="K28" s="20">
        <v>1.0</v>
      </c>
      <c r="L28" s="21">
        <v>37.32</v>
      </c>
      <c r="M28" s="27">
        <f t="shared" si="28"/>
        <v>37.32</v>
      </c>
      <c r="N28" s="20">
        <v>1.0</v>
      </c>
      <c r="O28" s="21">
        <v>0.0</v>
      </c>
      <c r="P28" s="27">
        <f t="shared" si="29"/>
        <v>0</v>
      </c>
      <c r="Q28" s="20">
        <v>1.0</v>
      </c>
      <c r="R28" s="21">
        <v>28.54</v>
      </c>
      <c r="S28" s="27">
        <f t="shared" si="30"/>
        <v>28.54</v>
      </c>
      <c r="T28" s="20">
        <v>1.0</v>
      </c>
      <c r="U28" s="21">
        <v>0.0</v>
      </c>
      <c r="V28" s="27">
        <v>47.53</v>
      </c>
      <c r="W28" s="20">
        <v>1.0</v>
      </c>
      <c r="X28" s="21">
        <v>0.0</v>
      </c>
      <c r="Y28" s="27">
        <v>47.53</v>
      </c>
      <c r="Z28" s="1"/>
      <c r="AA28" s="1"/>
      <c r="AB28" s="1"/>
      <c r="AC28" s="1"/>
      <c r="AD28" s="1"/>
      <c r="AE28" s="1"/>
    </row>
    <row r="29">
      <c r="A29" s="8" t="s">
        <v>31</v>
      </c>
      <c r="B29" s="16">
        <v>1.0</v>
      </c>
      <c r="C29" s="17">
        <v>0.0</v>
      </c>
      <c r="D29" s="9">
        <f>B29*C29</f>
        <v>0</v>
      </c>
      <c r="E29" s="18">
        <v>1.0</v>
      </c>
      <c r="F29" s="19">
        <v>13.14</v>
      </c>
      <c r="G29" s="11">
        <f t="shared" si="26"/>
        <v>13.14</v>
      </c>
      <c r="H29" s="16">
        <v>1.0</v>
      </c>
      <c r="I29" s="17">
        <v>6.51</v>
      </c>
      <c r="J29" s="9">
        <f t="shared" si="27"/>
        <v>6.51</v>
      </c>
      <c r="K29" s="20">
        <v>1.0</v>
      </c>
      <c r="L29" s="21">
        <v>0.0</v>
      </c>
      <c r="M29" s="27">
        <f t="shared" si="28"/>
        <v>0</v>
      </c>
      <c r="N29" s="20">
        <v>1.0</v>
      </c>
      <c r="O29" s="21">
        <v>21.66</v>
      </c>
      <c r="P29" s="27">
        <f t="shared" si="29"/>
        <v>21.66</v>
      </c>
      <c r="Q29" s="20">
        <v>1.0</v>
      </c>
      <c r="R29" s="21">
        <v>25.15</v>
      </c>
      <c r="S29" s="27">
        <f t="shared" si="30"/>
        <v>25.15</v>
      </c>
      <c r="T29" s="20">
        <v>1.0</v>
      </c>
      <c r="U29" s="21">
        <v>31.24</v>
      </c>
      <c r="V29" s="27">
        <f>T29*U29</f>
        <v>31.24</v>
      </c>
      <c r="W29" s="20">
        <v>1.0</v>
      </c>
      <c r="X29" s="21">
        <v>31.24</v>
      </c>
      <c r="Y29" s="27">
        <f>W29*X29</f>
        <v>31.24</v>
      </c>
      <c r="Z29" s="1"/>
      <c r="AA29" s="1"/>
      <c r="AB29" s="1"/>
      <c r="AC29" s="1"/>
      <c r="AD29" s="1"/>
      <c r="AE29" s="1"/>
    </row>
    <row r="30">
      <c r="A30" s="8" t="s">
        <v>32</v>
      </c>
      <c r="B30" s="16">
        <v>1.0</v>
      </c>
      <c r="C30" s="17">
        <v>178.07</v>
      </c>
      <c r="D30" s="9">
        <f>(B30*C30)*3/12</f>
        <v>44.5175</v>
      </c>
      <c r="E30" s="18">
        <v>1.0</v>
      </c>
      <c r="F30" s="19">
        <v>186.6</v>
      </c>
      <c r="G30" s="11">
        <f t="shared" si="26"/>
        <v>186.6</v>
      </c>
      <c r="H30" s="16">
        <v>1.0</v>
      </c>
      <c r="I30" s="17">
        <v>184.26</v>
      </c>
      <c r="J30" s="9">
        <f t="shared" si="27"/>
        <v>184.26</v>
      </c>
      <c r="K30" s="20">
        <v>1.0</v>
      </c>
      <c r="L30" s="21">
        <v>186.6</v>
      </c>
      <c r="M30" s="27">
        <f t="shared" si="28"/>
        <v>186.6</v>
      </c>
      <c r="N30" s="20">
        <v>1.0</v>
      </c>
      <c r="O30" s="21">
        <v>186.6</v>
      </c>
      <c r="P30" s="27">
        <f t="shared" si="29"/>
        <v>186.6</v>
      </c>
      <c r="Q30" s="20">
        <v>1.0</v>
      </c>
      <c r="R30" s="21">
        <v>139.95</v>
      </c>
      <c r="S30" s="27">
        <f t="shared" si="30"/>
        <v>139.95</v>
      </c>
      <c r="T30" s="20">
        <v>1.0</v>
      </c>
      <c r="U30" s="21">
        <v>0.0</v>
      </c>
      <c r="V30" s="27">
        <v>2.49</v>
      </c>
      <c r="W30" s="20">
        <v>1.0</v>
      </c>
      <c r="X30" s="21">
        <v>0.0</v>
      </c>
      <c r="Y30" s="27">
        <v>2.49</v>
      </c>
      <c r="Z30" s="1"/>
      <c r="AA30" s="1"/>
      <c r="AB30" s="1"/>
      <c r="AC30" s="1"/>
      <c r="AD30" s="1"/>
      <c r="AE30" s="1"/>
    </row>
    <row r="31">
      <c r="A31" s="3" t="s">
        <v>33</v>
      </c>
      <c r="B31" s="29"/>
      <c r="C31" s="10"/>
      <c r="D31" s="10">
        <f>SUM(D3,D13,D14,D15,D25,D26,D27,D28,D29,D30)</f>
        <v>474.4264802</v>
      </c>
      <c r="E31" s="30"/>
      <c r="F31" s="12"/>
      <c r="G31" s="12">
        <f>SUM(G3,G13,G14,G15,G16,G24,G25,G26,G27,G28,G29,G30)</f>
        <v>2277.452447</v>
      </c>
      <c r="H31" s="29"/>
      <c r="I31" s="10"/>
      <c r="J31" s="10">
        <f>SUM(J3,J13,J14,J15,J16,J24,J25,J26,J27,J28,J29,J30)</f>
        <v>1947.135533</v>
      </c>
      <c r="K31" s="31"/>
      <c r="L31" s="33"/>
      <c r="M31" s="34">
        <f>SUM(M3,M13,M14,M15,M16,M24,M25,M26,M27,M28,M29,M30)</f>
        <v>1686.538258</v>
      </c>
      <c r="N31" s="31"/>
      <c r="O31" s="33"/>
      <c r="P31" s="34">
        <f>SUM(P3,P13,P14,P15,P16,P24,P25,P26,P27,P28,P29,P30)</f>
        <v>1911.039029</v>
      </c>
      <c r="Q31" s="31"/>
      <c r="R31" s="33"/>
      <c r="S31" s="34">
        <f>SUM(S3,S13,S14,S15,S16,S24,S25,S26,S27,S28,S29,S30)</f>
        <v>2301.835747</v>
      </c>
      <c r="T31" s="31"/>
      <c r="U31" s="33"/>
      <c r="V31" s="34">
        <f>SUM(V3,V13,V14,V15,V16,V24,V25,V26,V27,V28,V29,V30)</f>
        <v>2582.775915</v>
      </c>
      <c r="W31" s="31"/>
      <c r="X31" s="33"/>
      <c r="Y31" s="34">
        <f>SUM(Y3,Y13,Y14,Y15,Y16,Y24,Y25,Y26,Y27,Y28,Y29,Y30)</f>
        <v>1311.965011</v>
      </c>
      <c r="Z31" s="1"/>
      <c r="AA31" s="1"/>
      <c r="AB31" s="1"/>
      <c r="AC31" s="1"/>
      <c r="AD31" s="1"/>
      <c r="AE31" s="1"/>
    </row>
    <row r="32">
      <c r="A32" s="3" t="s">
        <v>34</v>
      </c>
      <c r="B32" s="4" t="s">
        <v>2</v>
      </c>
      <c r="C32" s="4" t="s">
        <v>3</v>
      </c>
      <c r="D32" s="4" t="s">
        <v>4</v>
      </c>
      <c r="E32" s="5" t="s">
        <v>2</v>
      </c>
      <c r="F32" s="5" t="s">
        <v>3</v>
      </c>
      <c r="G32" s="5" t="s">
        <v>4</v>
      </c>
      <c r="H32" s="4" t="s">
        <v>2</v>
      </c>
      <c r="I32" s="4" t="s">
        <v>3</v>
      </c>
      <c r="J32" s="4" t="s">
        <v>4</v>
      </c>
      <c r="K32" s="6" t="s">
        <v>2</v>
      </c>
      <c r="L32" s="6" t="s">
        <v>3</v>
      </c>
      <c r="M32" s="7" t="s">
        <v>4</v>
      </c>
      <c r="N32" s="6" t="s">
        <v>2</v>
      </c>
      <c r="O32" s="6" t="s">
        <v>3</v>
      </c>
      <c r="P32" s="7" t="s">
        <v>4</v>
      </c>
      <c r="Q32" s="6" t="s">
        <v>2</v>
      </c>
      <c r="R32" s="6" t="s">
        <v>3</v>
      </c>
      <c r="S32" s="7" t="s">
        <v>4</v>
      </c>
      <c r="T32" s="6" t="s">
        <v>2</v>
      </c>
      <c r="U32" s="6" t="s">
        <v>3</v>
      </c>
      <c r="V32" s="7" t="s">
        <v>4</v>
      </c>
      <c r="W32" s="6" t="s">
        <v>2</v>
      </c>
      <c r="X32" s="6" t="s">
        <v>3</v>
      </c>
      <c r="Y32" s="7" t="s">
        <v>4</v>
      </c>
      <c r="Z32" s="1"/>
      <c r="AA32" s="1"/>
      <c r="AB32" s="1"/>
      <c r="AC32" s="1"/>
      <c r="AD32" s="1"/>
      <c r="AE32" s="1"/>
    </row>
    <row r="33">
      <c r="A33" s="8" t="s">
        <v>35</v>
      </c>
      <c r="B33" s="16">
        <v>1.0</v>
      </c>
      <c r="C33" s="9">
        <v>1.51</v>
      </c>
      <c r="D33" s="9">
        <f t="shared" ref="D33:D41" si="36">B33*C33</f>
        <v>1.51</v>
      </c>
      <c r="E33" s="18">
        <v>1.0</v>
      </c>
      <c r="F33" s="11">
        <v>14.29</v>
      </c>
      <c r="G33" s="11">
        <f t="shared" ref="G33:G41" si="37">E33*F33</f>
        <v>14.29</v>
      </c>
      <c r="H33" s="16">
        <v>1.0</v>
      </c>
      <c r="I33" s="9">
        <v>1.17</v>
      </c>
      <c r="J33" s="9">
        <f t="shared" ref="J33:J41" si="38">H33*I33</f>
        <v>1.17</v>
      </c>
      <c r="K33" s="20">
        <v>1.0</v>
      </c>
      <c r="L33" s="35">
        <v>1.99</v>
      </c>
      <c r="M33" s="27">
        <f t="shared" ref="M33:M41" si="39">K33*L33</f>
        <v>1.99</v>
      </c>
      <c r="N33" s="20">
        <v>1.0</v>
      </c>
      <c r="O33" s="35">
        <v>0.9</v>
      </c>
      <c r="P33" s="27">
        <f t="shared" ref="P33:P41" si="40">N33*O33</f>
        <v>0.9</v>
      </c>
      <c r="Q33" s="20">
        <v>1.0</v>
      </c>
      <c r="R33" s="35">
        <v>2.03</v>
      </c>
      <c r="S33" s="27">
        <f t="shared" ref="S33:S41" si="41">Q33*R33</f>
        <v>2.03</v>
      </c>
      <c r="T33" s="20">
        <v>1.0</v>
      </c>
      <c r="U33" s="35">
        <v>0.9</v>
      </c>
      <c r="V33" s="27">
        <f t="shared" ref="V33:V41" si="42">T33*U33</f>
        <v>0.9</v>
      </c>
      <c r="W33" s="20">
        <v>1.0</v>
      </c>
      <c r="X33" s="35">
        <v>0.9</v>
      </c>
      <c r="Y33" s="27">
        <f t="shared" ref="Y33:Y41" si="43">W33*X33</f>
        <v>0.9</v>
      </c>
      <c r="Z33" s="1"/>
      <c r="AA33" s="1"/>
      <c r="AB33" s="1"/>
      <c r="AC33" s="1"/>
      <c r="AD33" s="1"/>
      <c r="AE33" s="1"/>
    </row>
    <row r="34">
      <c r="A34" s="8" t="s">
        <v>36</v>
      </c>
      <c r="B34" s="16">
        <v>1.0</v>
      </c>
      <c r="C34" s="9">
        <v>307.92</v>
      </c>
      <c r="D34" s="9">
        <f t="shared" si="36"/>
        <v>307.92</v>
      </c>
      <c r="E34" s="18">
        <v>1.0</v>
      </c>
      <c r="F34" s="11">
        <v>1229.0</v>
      </c>
      <c r="G34" s="11">
        <f t="shared" si="37"/>
        <v>1229</v>
      </c>
      <c r="H34" s="16">
        <v>1.0</v>
      </c>
      <c r="I34" s="9">
        <v>411.39</v>
      </c>
      <c r="J34" s="9">
        <f t="shared" si="38"/>
        <v>411.39</v>
      </c>
      <c r="K34" s="20">
        <v>1.0</v>
      </c>
      <c r="L34" s="35">
        <v>102.89</v>
      </c>
      <c r="M34" s="27">
        <f t="shared" si="39"/>
        <v>102.89</v>
      </c>
      <c r="N34" s="20">
        <v>1.0</v>
      </c>
      <c r="O34" s="35">
        <v>119.88</v>
      </c>
      <c r="P34" s="27">
        <f t="shared" si="40"/>
        <v>119.88</v>
      </c>
      <c r="Q34" s="20">
        <v>1.0</v>
      </c>
      <c r="R34" s="35">
        <v>72.35</v>
      </c>
      <c r="S34" s="27">
        <f t="shared" si="41"/>
        <v>72.35</v>
      </c>
      <c r="T34" s="20">
        <v>1.0</v>
      </c>
      <c r="U34" s="35">
        <v>119.88</v>
      </c>
      <c r="V34" s="27">
        <f t="shared" si="42"/>
        <v>119.88</v>
      </c>
      <c r="W34" s="20">
        <v>1.0</v>
      </c>
      <c r="X34" s="35">
        <v>119.88</v>
      </c>
      <c r="Y34" s="27">
        <f t="shared" si="43"/>
        <v>119.88</v>
      </c>
      <c r="Z34" s="1"/>
      <c r="AA34" s="1"/>
      <c r="AB34" s="1"/>
      <c r="AC34" s="1"/>
      <c r="AD34" s="1"/>
      <c r="AE34" s="1"/>
    </row>
    <row r="35">
      <c r="A35" s="8" t="s">
        <v>37</v>
      </c>
      <c r="B35" s="16">
        <v>1.0</v>
      </c>
      <c r="C35" s="9">
        <v>199.92</v>
      </c>
      <c r="D35" s="9">
        <f t="shared" si="36"/>
        <v>199.92</v>
      </c>
      <c r="E35" s="18">
        <v>1.0</v>
      </c>
      <c r="F35" s="11">
        <v>199.92</v>
      </c>
      <c r="G35" s="11">
        <f t="shared" si="37"/>
        <v>199.92</v>
      </c>
      <c r="H35" s="16">
        <v>1.0</v>
      </c>
      <c r="I35" s="9">
        <v>197.4</v>
      </c>
      <c r="J35" s="9">
        <f t="shared" si="38"/>
        <v>197.4</v>
      </c>
      <c r="K35" s="20">
        <v>1.0</v>
      </c>
      <c r="L35" s="35">
        <v>199.92</v>
      </c>
      <c r="M35" s="27">
        <f t="shared" si="39"/>
        <v>199.92</v>
      </c>
      <c r="N35" s="20">
        <v>1.0</v>
      </c>
      <c r="O35" s="35">
        <v>220.76</v>
      </c>
      <c r="P35" s="27">
        <f t="shared" si="40"/>
        <v>220.76</v>
      </c>
      <c r="Q35" s="20">
        <v>1.0</v>
      </c>
      <c r="R35" s="35">
        <v>249.91</v>
      </c>
      <c r="S35" s="27">
        <f t="shared" si="41"/>
        <v>249.91</v>
      </c>
      <c r="T35" s="20">
        <v>1.0</v>
      </c>
      <c r="U35" s="35">
        <v>220.76</v>
      </c>
      <c r="V35" s="27">
        <f t="shared" si="42"/>
        <v>220.76</v>
      </c>
      <c r="W35" s="20">
        <v>1.0</v>
      </c>
      <c r="X35" s="35">
        <v>220.76</v>
      </c>
      <c r="Y35" s="27">
        <f t="shared" si="43"/>
        <v>220.76</v>
      </c>
      <c r="Z35" s="1"/>
      <c r="AA35" s="1"/>
      <c r="AB35" s="1"/>
      <c r="AC35" s="1"/>
      <c r="AD35" s="1"/>
      <c r="AE35" s="1"/>
    </row>
    <row r="36">
      <c r="A36" s="8" t="s">
        <v>38</v>
      </c>
      <c r="B36" s="16">
        <v>1.0</v>
      </c>
      <c r="C36" s="9">
        <v>388.16</v>
      </c>
      <c r="D36" s="9">
        <f t="shared" si="36"/>
        <v>388.16</v>
      </c>
      <c r="E36" s="18">
        <v>1.0</v>
      </c>
      <c r="F36" s="11">
        <v>691.06</v>
      </c>
      <c r="G36" s="11">
        <f t="shared" si="37"/>
        <v>691.06</v>
      </c>
      <c r="H36" s="16">
        <v>1.0</v>
      </c>
      <c r="I36" s="9">
        <v>42.35</v>
      </c>
      <c r="J36" s="9">
        <f t="shared" si="38"/>
        <v>42.35</v>
      </c>
      <c r="K36" s="20">
        <v>1.0</v>
      </c>
      <c r="L36" s="35">
        <v>69.8</v>
      </c>
      <c r="M36" s="27">
        <f t="shared" si="39"/>
        <v>69.8</v>
      </c>
      <c r="N36" s="20">
        <v>1.0</v>
      </c>
      <c r="O36" s="35">
        <v>0.0</v>
      </c>
      <c r="P36" s="27">
        <f t="shared" si="40"/>
        <v>0</v>
      </c>
      <c r="Q36" s="20">
        <v>1.0</v>
      </c>
      <c r="R36" s="35">
        <v>0.0</v>
      </c>
      <c r="S36" s="27">
        <f t="shared" si="41"/>
        <v>0</v>
      </c>
      <c r="T36" s="20">
        <v>1.0</v>
      </c>
      <c r="U36" s="35">
        <v>0.0</v>
      </c>
      <c r="V36" s="27">
        <f t="shared" si="42"/>
        <v>0</v>
      </c>
      <c r="W36" s="20">
        <v>1.0</v>
      </c>
      <c r="X36" s="35">
        <v>0.0</v>
      </c>
      <c r="Y36" s="27">
        <f t="shared" si="43"/>
        <v>0</v>
      </c>
      <c r="Z36" s="1"/>
      <c r="AA36" s="1"/>
      <c r="AB36" s="1"/>
      <c r="AC36" s="1"/>
      <c r="AD36" s="1"/>
      <c r="AE36" s="1"/>
    </row>
    <row r="37">
      <c r="A37" s="8" t="s">
        <v>39</v>
      </c>
      <c r="B37" s="16">
        <v>1.0</v>
      </c>
      <c r="C37" s="9">
        <v>-388.16</v>
      </c>
      <c r="D37" s="9">
        <f t="shared" si="36"/>
        <v>-388.16</v>
      </c>
      <c r="E37" s="18">
        <v>1.0</v>
      </c>
      <c r="F37" s="11">
        <v>-693.64</v>
      </c>
      <c r="G37" s="11">
        <f t="shared" si="37"/>
        <v>-693.64</v>
      </c>
      <c r="H37" s="16">
        <v>1.0</v>
      </c>
      <c r="I37" s="9">
        <v>-42.35</v>
      </c>
      <c r="J37" s="9">
        <f t="shared" si="38"/>
        <v>-42.35</v>
      </c>
      <c r="K37" s="20">
        <v>1.0</v>
      </c>
      <c r="L37" s="35">
        <v>-69.81</v>
      </c>
      <c r="M37" s="27">
        <f t="shared" si="39"/>
        <v>-69.81</v>
      </c>
      <c r="N37" s="20">
        <v>1.0</v>
      </c>
      <c r="O37" s="35">
        <v>0.0</v>
      </c>
      <c r="P37" s="27">
        <f t="shared" si="40"/>
        <v>0</v>
      </c>
      <c r="Q37" s="20">
        <v>1.0</v>
      </c>
      <c r="R37" s="35">
        <v>0.0</v>
      </c>
      <c r="S37" s="27">
        <f t="shared" si="41"/>
        <v>0</v>
      </c>
      <c r="T37" s="20">
        <v>1.0</v>
      </c>
      <c r="U37" s="35">
        <v>0.0</v>
      </c>
      <c r="V37" s="27">
        <f t="shared" si="42"/>
        <v>0</v>
      </c>
      <c r="W37" s="20">
        <v>1.0</v>
      </c>
      <c r="X37" s="35">
        <v>0.0</v>
      </c>
      <c r="Y37" s="27">
        <f t="shared" si="43"/>
        <v>0</v>
      </c>
      <c r="Z37" s="1"/>
      <c r="AA37" s="1"/>
      <c r="AB37" s="1"/>
      <c r="AC37" s="1"/>
      <c r="AD37" s="1"/>
      <c r="AE37" s="1"/>
    </row>
    <row r="38">
      <c r="A38" s="8" t="s">
        <v>40</v>
      </c>
      <c r="B38" s="16">
        <v>1.0</v>
      </c>
      <c r="C38" s="9">
        <v>13.44</v>
      </c>
      <c r="D38" s="9">
        <f t="shared" si="36"/>
        <v>13.44</v>
      </c>
      <c r="E38" s="18">
        <v>1.0</v>
      </c>
      <c r="F38" s="11">
        <v>13.75</v>
      </c>
      <c r="G38" s="11">
        <f t="shared" si="37"/>
        <v>13.75</v>
      </c>
      <c r="H38" s="16">
        <v>1.0</v>
      </c>
      <c r="I38" s="9">
        <v>13.64</v>
      </c>
      <c r="J38" s="9">
        <f t="shared" si="38"/>
        <v>13.64</v>
      </c>
      <c r="K38" s="20">
        <v>1.0</v>
      </c>
      <c r="L38" s="35">
        <v>15.93</v>
      </c>
      <c r="M38" s="27">
        <f t="shared" si="39"/>
        <v>15.93</v>
      </c>
      <c r="N38" s="20">
        <v>1.0</v>
      </c>
      <c r="O38" s="35">
        <v>15.61</v>
      </c>
      <c r="P38" s="27">
        <f t="shared" si="40"/>
        <v>15.61</v>
      </c>
      <c r="Q38" s="20">
        <v>1.0</v>
      </c>
      <c r="R38" s="35">
        <v>16.33</v>
      </c>
      <c r="S38" s="27">
        <f t="shared" si="41"/>
        <v>16.33</v>
      </c>
      <c r="T38" s="20">
        <v>1.0</v>
      </c>
      <c r="U38" s="35">
        <v>15.61</v>
      </c>
      <c r="V38" s="27">
        <f t="shared" si="42"/>
        <v>15.61</v>
      </c>
      <c r="W38" s="20">
        <v>1.0</v>
      </c>
      <c r="X38" s="35">
        <v>15.61</v>
      </c>
      <c r="Y38" s="27">
        <f t="shared" si="43"/>
        <v>15.61</v>
      </c>
      <c r="Z38" s="1"/>
      <c r="AA38" s="1"/>
      <c r="AB38" s="1"/>
      <c r="AC38" s="1"/>
      <c r="AD38" s="1"/>
      <c r="AE38" s="1"/>
    </row>
    <row r="39">
      <c r="A39" s="8" t="s">
        <v>41</v>
      </c>
      <c r="B39" s="16">
        <v>1.0</v>
      </c>
      <c r="C39" s="9">
        <v>3.03</v>
      </c>
      <c r="D39" s="9">
        <f t="shared" si="36"/>
        <v>3.03</v>
      </c>
      <c r="E39" s="18">
        <v>1.0</v>
      </c>
      <c r="F39" s="11">
        <v>30.83</v>
      </c>
      <c r="G39" s="11">
        <f t="shared" si="37"/>
        <v>30.83</v>
      </c>
      <c r="H39" s="16">
        <v>1.0</v>
      </c>
      <c r="I39" s="9">
        <v>0.0</v>
      </c>
      <c r="J39" s="9">
        <f t="shared" si="38"/>
        <v>0</v>
      </c>
      <c r="K39" s="20">
        <v>1.0</v>
      </c>
      <c r="L39" s="35">
        <v>19.99</v>
      </c>
      <c r="M39" s="27">
        <f t="shared" si="39"/>
        <v>19.99</v>
      </c>
      <c r="N39" s="20">
        <v>1.0</v>
      </c>
      <c r="O39" s="35">
        <v>0.0</v>
      </c>
      <c r="P39" s="27">
        <f t="shared" si="40"/>
        <v>0</v>
      </c>
      <c r="Q39" s="20">
        <v>1.0</v>
      </c>
      <c r="R39" s="35">
        <v>0.93</v>
      </c>
      <c r="S39" s="27">
        <f t="shared" si="41"/>
        <v>0.93</v>
      </c>
      <c r="T39" s="20">
        <v>1.0</v>
      </c>
      <c r="U39" s="35">
        <v>0.0</v>
      </c>
      <c r="V39" s="27">
        <f t="shared" si="42"/>
        <v>0</v>
      </c>
      <c r="W39" s="20">
        <v>1.0</v>
      </c>
      <c r="X39" s="35">
        <v>0.0</v>
      </c>
      <c r="Y39" s="27">
        <f t="shared" si="43"/>
        <v>0</v>
      </c>
      <c r="Z39" s="1"/>
      <c r="AA39" s="1"/>
      <c r="AB39" s="1"/>
      <c r="AC39" s="1"/>
      <c r="AD39" s="1"/>
      <c r="AE39" s="1"/>
    </row>
    <row r="40">
      <c r="A40" s="8" t="s">
        <v>42</v>
      </c>
      <c r="B40" s="16">
        <v>1.0</v>
      </c>
      <c r="C40" s="9">
        <v>-161.07</v>
      </c>
      <c r="D40" s="9">
        <f t="shared" si="36"/>
        <v>-161.07</v>
      </c>
      <c r="E40" s="18">
        <v>1.0</v>
      </c>
      <c r="F40" s="11">
        <v>-1057.32</v>
      </c>
      <c r="G40" s="11">
        <f t="shared" si="37"/>
        <v>-1057.32</v>
      </c>
      <c r="H40" s="16">
        <v>1.0</v>
      </c>
      <c r="I40" s="9">
        <v>-264.54</v>
      </c>
      <c r="J40" s="9">
        <f t="shared" si="38"/>
        <v>-264.54</v>
      </c>
      <c r="K40" s="20">
        <v>1.0</v>
      </c>
      <c r="L40" s="35">
        <v>0.0</v>
      </c>
      <c r="M40" s="27">
        <f t="shared" si="39"/>
        <v>0</v>
      </c>
      <c r="N40" s="20">
        <v>1.0</v>
      </c>
      <c r="O40" s="35">
        <v>0.0</v>
      </c>
      <c r="P40" s="27">
        <f t="shared" si="40"/>
        <v>0</v>
      </c>
      <c r="Q40" s="20">
        <v>1.0</v>
      </c>
      <c r="R40" s="35">
        <v>0.0</v>
      </c>
      <c r="S40" s="27">
        <f t="shared" si="41"/>
        <v>0</v>
      </c>
      <c r="T40" s="20">
        <v>1.0</v>
      </c>
      <c r="U40" s="35">
        <v>0.0</v>
      </c>
      <c r="V40" s="27">
        <f t="shared" si="42"/>
        <v>0</v>
      </c>
      <c r="W40" s="20">
        <v>1.0</v>
      </c>
      <c r="X40" s="35">
        <v>0.0</v>
      </c>
      <c r="Y40" s="27">
        <f t="shared" si="43"/>
        <v>0</v>
      </c>
      <c r="Z40" s="1"/>
      <c r="AA40" s="1"/>
      <c r="AB40" s="1"/>
      <c r="AC40" s="1"/>
      <c r="AD40" s="1"/>
      <c r="AE40" s="1"/>
    </row>
    <row r="41">
      <c r="A41" s="8" t="s">
        <v>43</v>
      </c>
      <c r="B41" s="16">
        <v>1.0</v>
      </c>
      <c r="C41" s="9">
        <v>19.99</v>
      </c>
      <c r="D41" s="9">
        <f t="shared" si="36"/>
        <v>19.99</v>
      </c>
      <c r="E41" s="18">
        <v>1.0</v>
      </c>
      <c r="F41" s="11">
        <v>29.98</v>
      </c>
      <c r="G41" s="11">
        <f t="shared" si="37"/>
        <v>29.98</v>
      </c>
      <c r="H41" s="16">
        <v>1.0</v>
      </c>
      <c r="I41" s="9">
        <v>19.74</v>
      </c>
      <c r="J41" s="9">
        <f t="shared" si="38"/>
        <v>19.74</v>
      </c>
      <c r="K41" s="20">
        <v>1.0</v>
      </c>
      <c r="L41" s="35">
        <v>2.94</v>
      </c>
      <c r="M41" s="27">
        <f t="shared" si="39"/>
        <v>2.94</v>
      </c>
      <c r="N41" s="20">
        <v>1.0</v>
      </c>
      <c r="O41" s="35">
        <v>22.07</v>
      </c>
      <c r="P41" s="27">
        <f t="shared" si="40"/>
        <v>22.07</v>
      </c>
      <c r="Q41" s="20">
        <v>1.0</v>
      </c>
      <c r="R41" s="35">
        <v>24.99</v>
      </c>
      <c r="S41" s="27">
        <f t="shared" si="41"/>
        <v>24.99</v>
      </c>
      <c r="T41" s="20">
        <v>1.0</v>
      </c>
      <c r="U41" s="35">
        <v>22.07</v>
      </c>
      <c r="V41" s="27">
        <f t="shared" si="42"/>
        <v>22.07</v>
      </c>
      <c r="W41" s="20">
        <v>1.0</v>
      </c>
      <c r="X41" s="35">
        <v>22.07</v>
      </c>
      <c r="Y41" s="27">
        <f t="shared" si="43"/>
        <v>22.07</v>
      </c>
      <c r="Z41" s="1"/>
      <c r="AA41" s="1"/>
      <c r="AB41" s="1"/>
      <c r="AC41" s="1"/>
      <c r="AD41" s="1"/>
      <c r="AE41" s="1"/>
    </row>
    <row r="42">
      <c r="A42" s="36" t="s">
        <v>33</v>
      </c>
      <c r="B42" s="37"/>
      <c r="C42" s="38"/>
      <c r="D42" s="10">
        <f>SUM(D33:D41)</f>
        <v>384.74</v>
      </c>
      <c r="E42" s="39"/>
      <c r="F42" s="39"/>
      <c r="G42" s="12">
        <f>SUM(G33:G41)</f>
        <v>457.87</v>
      </c>
      <c r="H42" s="38"/>
      <c r="I42" s="38"/>
      <c r="J42" s="10">
        <f>SUM(J33:J41)</f>
        <v>378.8</v>
      </c>
      <c r="K42" s="40"/>
      <c r="L42" s="40"/>
      <c r="M42" s="14">
        <f>SUM(M33:M41)</f>
        <v>343.65</v>
      </c>
      <c r="N42" s="40"/>
      <c r="O42" s="40"/>
      <c r="P42" s="14">
        <f>SUM(P33:P41)</f>
        <v>379.22</v>
      </c>
      <c r="Q42" s="40"/>
      <c r="R42" s="40"/>
      <c r="S42" s="14">
        <f>SUM(S33:S41)</f>
        <v>366.54</v>
      </c>
      <c r="T42" s="40"/>
      <c r="U42" s="40"/>
      <c r="V42" s="14">
        <f>SUM(V33:V41)</f>
        <v>379.22</v>
      </c>
      <c r="W42" s="40"/>
      <c r="X42" s="40"/>
      <c r="Y42" s="14">
        <f>SUM(Y33:Y41)</f>
        <v>379.22</v>
      </c>
      <c r="Z42" s="1"/>
      <c r="AA42" s="1"/>
      <c r="AB42" s="1"/>
      <c r="AC42" s="1"/>
      <c r="AD42" s="1"/>
      <c r="AE42" s="1"/>
    </row>
    <row r="43">
      <c r="A43" s="41" t="s">
        <v>44</v>
      </c>
      <c r="B43" s="42">
        <v>1.0</v>
      </c>
      <c r="C43" s="9">
        <v>51.18</v>
      </c>
      <c r="D43" s="9">
        <f>B43*C43</f>
        <v>51.18</v>
      </c>
      <c r="E43" s="43">
        <v>1.0</v>
      </c>
      <c r="F43" s="11">
        <v>204.73</v>
      </c>
      <c r="G43" s="11">
        <f>E43*F43</f>
        <v>204.73</v>
      </c>
      <c r="H43" s="42">
        <v>1.0</v>
      </c>
      <c r="I43" s="9">
        <v>204.73</v>
      </c>
      <c r="J43" s="9">
        <f>H43*I43</f>
        <v>204.73</v>
      </c>
      <c r="K43" s="44">
        <v>1.0</v>
      </c>
      <c r="L43" s="13">
        <v>204.73</v>
      </c>
      <c r="M43" s="27">
        <f>K43*L43</f>
        <v>204.73</v>
      </c>
      <c r="N43" s="44">
        <v>1.0</v>
      </c>
      <c r="O43" s="13">
        <v>204.73</v>
      </c>
      <c r="P43" s="27">
        <f>N43*O43</f>
        <v>204.73</v>
      </c>
      <c r="Q43" s="44">
        <v>1.0</v>
      </c>
      <c r="R43" s="13">
        <v>204.73</v>
      </c>
      <c r="S43" s="27">
        <f>Q43*R43</f>
        <v>204.73</v>
      </c>
      <c r="T43" s="44">
        <v>1.0</v>
      </c>
      <c r="U43" s="13">
        <v>233.12</v>
      </c>
      <c r="V43" s="27">
        <f>T43*U43</f>
        <v>233.12</v>
      </c>
      <c r="W43" s="44">
        <v>1.0</v>
      </c>
      <c r="X43" s="13">
        <v>233.12</v>
      </c>
      <c r="Y43" s="27">
        <f>W43*X43</f>
        <v>233.12</v>
      </c>
      <c r="Z43" s="1"/>
      <c r="AA43" s="1"/>
      <c r="AB43" s="1"/>
      <c r="AC43" s="1"/>
      <c r="AD43" s="1"/>
      <c r="AE43" s="1"/>
    </row>
    <row r="44">
      <c r="A44" s="36" t="s">
        <v>45</v>
      </c>
      <c r="B44" s="37"/>
      <c r="C44" s="38"/>
      <c r="D44" s="10">
        <f>D31+D42+D43</f>
        <v>910.3464802</v>
      </c>
      <c r="E44" s="39"/>
      <c r="F44" s="39"/>
      <c r="G44" s="12">
        <f>G31+G43</f>
        <v>2482.182447</v>
      </c>
      <c r="H44" s="38"/>
      <c r="I44" s="38"/>
      <c r="J44" s="10">
        <f>J31+J43</f>
        <v>2151.865533</v>
      </c>
      <c r="K44" s="40"/>
      <c r="L44" s="40"/>
      <c r="M44" s="34">
        <f>M31+M43</f>
        <v>1891.268258</v>
      </c>
      <c r="N44" s="40"/>
      <c r="O44" s="40"/>
      <c r="P44" s="34">
        <f>P31+P43</f>
        <v>2115.769029</v>
      </c>
      <c r="Q44" s="40"/>
      <c r="R44" s="40"/>
      <c r="S44" s="34">
        <f>S31+S43</f>
        <v>2506.565747</v>
      </c>
      <c r="T44" s="40"/>
      <c r="U44" s="40"/>
      <c r="V44" s="34">
        <f>V31+V43</f>
        <v>2815.895915</v>
      </c>
      <c r="W44" s="40"/>
      <c r="X44" s="40"/>
      <c r="Y44" s="34">
        <f>Y31+Y43</f>
        <v>1545.085011</v>
      </c>
      <c r="Z44" s="1"/>
      <c r="AA44" s="1"/>
      <c r="AB44" s="1"/>
      <c r="AC44" s="1"/>
      <c r="AD44" s="1"/>
      <c r="AE44" s="1"/>
    </row>
    <row r="45">
      <c r="A45" s="8" t="s">
        <v>46</v>
      </c>
      <c r="B45" s="45"/>
      <c r="C45" s="9"/>
      <c r="D45" s="9">
        <v>450.0</v>
      </c>
      <c r="E45" s="46"/>
      <c r="F45" s="11"/>
      <c r="G45" s="11">
        <v>2150.0</v>
      </c>
      <c r="H45" s="45"/>
      <c r="I45" s="10"/>
      <c r="J45" s="9">
        <v>2400.0</v>
      </c>
      <c r="K45" s="47"/>
      <c r="L45" s="33"/>
      <c r="M45" s="27">
        <v>2400.0</v>
      </c>
      <c r="N45" s="47"/>
      <c r="O45" s="33"/>
      <c r="P45" s="27">
        <v>2500.0</v>
      </c>
      <c r="Q45" s="47"/>
      <c r="R45" s="33"/>
      <c r="S45" s="27">
        <v>2700.0</v>
      </c>
      <c r="T45" s="47"/>
      <c r="U45" s="33"/>
      <c r="V45" s="27">
        <v>2700.0</v>
      </c>
      <c r="W45" s="47"/>
      <c r="X45" s="33"/>
      <c r="Y45" s="27">
        <v>2700.0</v>
      </c>
      <c r="Z45" s="1"/>
      <c r="AA45" s="1"/>
      <c r="AB45" s="1"/>
      <c r="AC45" s="1"/>
      <c r="AD45" s="1"/>
      <c r="AE45" s="1"/>
    </row>
    <row r="46">
      <c r="A46" s="3" t="s">
        <v>47</v>
      </c>
      <c r="B46" s="38"/>
      <c r="C46" s="38"/>
      <c r="D46" s="10">
        <f>D45-D44</f>
        <v>-460.3464802</v>
      </c>
      <c r="E46" s="39"/>
      <c r="F46" s="39"/>
      <c r="G46" s="12">
        <f>G45-G44</f>
        <v>-332.1824467</v>
      </c>
      <c r="H46" s="38"/>
      <c r="I46" s="38"/>
      <c r="J46" s="10">
        <f>J45-J44</f>
        <v>248.1344672</v>
      </c>
      <c r="K46" s="40"/>
      <c r="L46" s="40"/>
      <c r="M46" s="48">
        <f>M45-M44</f>
        <v>508.731742</v>
      </c>
      <c r="N46" s="40"/>
      <c r="O46" s="40"/>
      <c r="P46" s="48">
        <f>P45-P44</f>
        <v>384.2309709</v>
      </c>
      <c r="Q46" s="40"/>
      <c r="R46" s="40"/>
      <c r="S46" s="48">
        <f>S45-S44</f>
        <v>193.4342526</v>
      </c>
      <c r="T46" s="40"/>
      <c r="U46" s="40"/>
      <c r="V46" s="48">
        <f>V45-V44</f>
        <v>-115.8959154</v>
      </c>
      <c r="W46" s="40"/>
      <c r="X46" s="40"/>
      <c r="Y46" s="48">
        <f>Y45-Y44</f>
        <v>1154.914989</v>
      </c>
      <c r="Z46" s="1"/>
      <c r="AA46" s="1"/>
      <c r="AB46" s="1"/>
      <c r="AC46" s="1"/>
      <c r="AD46" s="1"/>
      <c r="AE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</sheetData>
  <mergeCells count="8">
    <mergeCell ref="B1:D1"/>
    <mergeCell ref="E1:G1"/>
    <mergeCell ref="H1:J1"/>
    <mergeCell ref="K1:M1"/>
    <mergeCell ref="N1:P1"/>
    <mergeCell ref="Q1:S1"/>
    <mergeCell ref="T1:V1"/>
    <mergeCell ref="W1:Y1"/>
  </mergeCells>
  <conditionalFormatting sqref="D46">
    <cfRule type="cellIs" dxfId="0" priority="1" operator="greaterThanOrEqual">
      <formula>0</formula>
    </cfRule>
  </conditionalFormatting>
  <conditionalFormatting sqref="D46">
    <cfRule type="cellIs" dxfId="1" priority="2" operator="lessThan">
      <formula>0</formula>
    </cfRule>
  </conditionalFormatting>
  <conditionalFormatting sqref="G46">
    <cfRule type="cellIs" dxfId="0" priority="3" operator="greaterThanOrEqual">
      <formula>0</formula>
    </cfRule>
  </conditionalFormatting>
  <conditionalFormatting sqref="G46">
    <cfRule type="cellIs" dxfId="1" priority="4" operator="lessThan">
      <formula>0</formula>
    </cfRule>
  </conditionalFormatting>
  <conditionalFormatting sqref="J46 P46">
    <cfRule type="cellIs" dxfId="0" priority="5" operator="greaterThanOrEqual">
      <formula>0</formula>
    </cfRule>
  </conditionalFormatting>
  <conditionalFormatting sqref="J46 P46">
    <cfRule type="cellIs" dxfId="1" priority="6" operator="lessThan">
      <formula>0</formula>
    </cfRule>
  </conditionalFormatting>
  <conditionalFormatting sqref="M46 P46 S46 V46 Y46">
    <cfRule type="cellIs" dxfId="0" priority="7" operator="greaterThanOrEqual">
      <formula>0</formula>
    </cfRule>
  </conditionalFormatting>
  <conditionalFormatting sqref="M46 P46 S46 V46 Y46">
    <cfRule type="cellIs" dxfId="1" priority="8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1.13"/>
    <col customWidth="1" min="3" max="3" width="16.88"/>
    <col customWidth="1" min="4" max="4" width="13.5"/>
    <col customWidth="1" min="5" max="5" width="27.5"/>
    <col customWidth="1" min="6" max="6" width="25.25"/>
    <col customWidth="1" min="7" max="7" width="20.38"/>
    <col customWidth="1" min="8" max="8" width="12.0"/>
    <col customWidth="1" min="9" max="9" width="23.0"/>
    <col customWidth="1" min="10" max="10" width="19.5"/>
    <col customWidth="1" min="11" max="11" width="21.25"/>
  </cols>
  <sheetData>
    <row r="1">
      <c r="A1" s="49" t="s">
        <v>48</v>
      </c>
      <c r="B1" s="50" t="s">
        <v>49</v>
      </c>
      <c r="C1" s="50" t="s">
        <v>50</v>
      </c>
      <c r="D1" s="50" t="s">
        <v>51</v>
      </c>
      <c r="E1" s="50" t="s">
        <v>52</v>
      </c>
      <c r="F1" s="50" t="s">
        <v>53</v>
      </c>
      <c r="G1" s="50" t="s">
        <v>54</v>
      </c>
      <c r="H1" s="50" t="s">
        <v>55</v>
      </c>
      <c r="I1" s="51" t="s">
        <v>56</v>
      </c>
      <c r="J1" s="50" t="s">
        <v>57</v>
      </c>
      <c r="K1" s="50" t="s">
        <v>58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idden="1">
      <c r="A2" s="52">
        <v>44589.0</v>
      </c>
      <c r="B2" s="53">
        <v>1552.0</v>
      </c>
      <c r="C2" s="53">
        <v>0.0</v>
      </c>
      <c r="D2" s="53">
        <v>0.0</v>
      </c>
      <c r="E2" s="53">
        <v>3058.0</v>
      </c>
      <c r="F2" s="53">
        <v>1817.0</v>
      </c>
      <c r="G2" s="53">
        <v>581.0</v>
      </c>
      <c r="H2" s="53">
        <v>2275.0</v>
      </c>
      <c r="I2" s="53" t="s">
        <v>59</v>
      </c>
      <c r="J2" s="53">
        <v>29567.0</v>
      </c>
      <c r="K2" s="53">
        <v>179311.0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idden="1">
      <c r="A3" s="52">
        <v>44753.0</v>
      </c>
      <c r="B3" s="53">
        <v>710.0</v>
      </c>
      <c r="C3" s="53">
        <v>0.0</v>
      </c>
      <c r="D3" s="53">
        <v>0.0</v>
      </c>
      <c r="E3" s="53">
        <v>1129.0</v>
      </c>
      <c r="F3" s="53">
        <v>821.0</v>
      </c>
      <c r="G3" s="53">
        <v>781.0</v>
      </c>
      <c r="H3" s="53">
        <v>1137.0</v>
      </c>
      <c r="I3" s="54">
        <f t="shared" ref="I3:I16" si="1">(SUM(B3:H3)-SUM(B2:H2))/2</f>
        <v>-2352.5</v>
      </c>
      <c r="J3" s="54"/>
      <c r="K3" s="5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idden="1">
      <c r="A4" s="52">
        <v>44766.0</v>
      </c>
      <c r="B4" s="53">
        <v>711.0</v>
      </c>
      <c r="C4" s="53">
        <v>0.0</v>
      </c>
      <c r="D4" s="53">
        <v>0.0</v>
      </c>
      <c r="E4" s="53">
        <v>1129.0</v>
      </c>
      <c r="F4" s="53">
        <v>822.0</v>
      </c>
      <c r="G4" s="53">
        <v>781.0</v>
      </c>
      <c r="H4" s="53">
        <v>1138.0</v>
      </c>
      <c r="I4" s="54">
        <f t="shared" si="1"/>
        <v>1.5</v>
      </c>
      <c r="J4" s="54"/>
      <c r="K4" s="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idden="1">
      <c r="A5" s="52">
        <v>44780.0</v>
      </c>
      <c r="B5" s="53">
        <v>711.0</v>
      </c>
      <c r="C5" s="53">
        <v>0.0</v>
      </c>
      <c r="D5" s="53">
        <v>0.0</v>
      </c>
      <c r="E5" s="53">
        <v>1129.0</v>
      </c>
      <c r="F5" s="53">
        <v>822.0</v>
      </c>
      <c r="G5" s="53">
        <v>781.0</v>
      </c>
      <c r="H5" s="53">
        <v>1138.0</v>
      </c>
      <c r="I5" s="54">
        <f t="shared" si="1"/>
        <v>0</v>
      </c>
      <c r="J5" s="54"/>
      <c r="K5" s="5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idden="1">
      <c r="A6" s="52">
        <v>44794.0</v>
      </c>
      <c r="B6" s="53">
        <v>711.0</v>
      </c>
      <c r="C6" s="53">
        <v>0.0</v>
      </c>
      <c r="D6" s="53">
        <v>0.0</v>
      </c>
      <c r="E6" s="53">
        <v>1129.0</v>
      </c>
      <c r="F6" s="53">
        <v>822.0</v>
      </c>
      <c r="G6" s="53">
        <v>781.0</v>
      </c>
      <c r="H6" s="53">
        <v>1138.0</v>
      </c>
      <c r="I6" s="54">
        <f t="shared" si="1"/>
        <v>0</v>
      </c>
      <c r="J6" s="54"/>
      <c r="K6" s="5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idden="1">
      <c r="A7" s="52">
        <v>44808.0</v>
      </c>
      <c r="B7" s="53">
        <v>711.0</v>
      </c>
      <c r="C7" s="53">
        <v>0.0</v>
      </c>
      <c r="D7" s="53">
        <v>0.0</v>
      </c>
      <c r="E7" s="53">
        <v>1129.0</v>
      </c>
      <c r="F7" s="53">
        <v>822.0</v>
      </c>
      <c r="G7" s="53">
        <v>781.0</v>
      </c>
      <c r="H7" s="53">
        <v>1138.0</v>
      </c>
      <c r="I7" s="54">
        <f t="shared" si="1"/>
        <v>0</v>
      </c>
      <c r="J7" s="54"/>
      <c r="K7" s="5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idden="1">
      <c r="A8" s="52">
        <v>44822.0</v>
      </c>
      <c r="B8" s="53">
        <v>714.0</v>
      </c>
      <c r="C8" s="53">
        <v>0.0</v>
      </c>
      <c r="D8" s="53">
        <v>0.0</v>
      </c>
      <c r="E8" s="53">
        <v>1129.0</v>
      </c>
      <c r="F8" s="53">
        <v>822.0</v>
      </c>
      <c r="G8" s="53">
        <v>781.0</v>
      </c>
      <c r="H8" s="53">
        <v>1139.0</v>
      </c>
      <c r="I8" s="54">
        <f t="shared" si="1"/>
        <v>2</v>
      </c>
      <c r="J8" s="54"/>
      <c r="K8" s="5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idden="1">
      <c r="A9" s="52">
        <v>44836.0</v>
      </c>
      <c r="B9" s="53">
        <v>714.0</v>
      </c>
      <c r="C9" s="53">
        <v>0.0</v>
      </c>
      <c r="D9" s="53">
        <v>0.0</v>
      </c>
      <c r="E9" s="53">
        <v>1129.0</v>
      </c>
      <c r="F9" s="53">
        <v>822.0</v>
      </c>
      <c r="G9" s="53">
        <v>782.0</v>
      </c>
      <c r="H9" s="53">
        <v>1139.0</v>
      </c>
      <c r="I9" s="54">
        <f t="shared" si="1"/>
        <v>0.5</v>
      </c>
      <c r="J9" s="54"/>
      <c r="K9" s="5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idden="1">
      <c r="A10" s="52">
        <v>44850.0</v>
      </c>
      <c r="B10" s="53">
        <v>714.0</v>
      </c>
      <c r="C10" s="53">
        <v>0.0</v>
      </c>
      <c r="D10" s="53">
        <v>0.0</v>
      </c>
      <c r="E10" s="53">
        <v>1129.0</v>
      </c>
      <c r="F10" s="53">
        <v>822.0</v>
      </c>
      <c r="G10" s="53">
        <v>783.0</v>
      </c>
      <c r="H10" s="53">
        <v>1139.0</v>
      </c>
      <c r="I10" s="54">
        <f t="shared" si="1"/>
        <v>0.5</v>
      </c>
      <c r="J10" s="54"/>
      <c r="K10" s="5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idden="1">
      <c r="A11" s="52">
        <v>44864.0</v>
      </c>
      <c r="B11" s="53">
        <v>715.0</v>
      </c>
      <c r="C11" s="53">
        <v>0.0</v>
      </c>
      <c r="D11" s="53">
        <v>0.0</v>
      </c>
      <c r="E11" s="53">
        <v>1129.0</v>
      </c>
      <c r="F11" s="53">
        <v>822.0</v>
      </c>
      <c r="G11" s="53">
        <v>783.0</v>
      </c>
      <c r="H11" s="53">
        <v>1139.0</v>
      </c>
      <c r="I11" s="54">
        <f t="shared" si="1"/>
        <v>0.5</v>
      </c>
      <c r="J11" s="54"/>
      <c r="K11" s="5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idden="1">
      <c r="A12" s="52">
        <v>44878.0</v>
      </c>
      <c r="B12" s="53">
        <v>722.0</v>
      </c>
      <c r="C12" s="53">
        <v>0.0</v>
      </c>
      <c r="D12" s="53">
        <v>0.0</v>
      </c>
      <c r="E12" s="53">
        <v>1138.0</v>
      </c>
      <c r="F12" s="53">
        <v>824.0</v>
      </c>
      <c r="G12" s="53">
        <v>790.0</v>
      </c>
      <c r="H12" s="53">
        <v>1142.0</v>
      </c>
      <c r="I12" s="54">
        <f t="shared" si="1"/>
        <v>14</v>
      </c>
      <c r="J12" s="54"/>
      <c r="K12" s="5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idden="1">
      <c r="A13" s="52">
        <v>44892.0</v>
      </c>
      <c r="B13" s="53">
        <v>767.0</v>
      </c>
      <c r="C13" s="53">
        <v>0.0</v>
      </c>
      <c r="D13" s="53">
        <v>4.0</v>
      </c>
      <c r="E13" s="53">
        <v>1220.0</v>
      </c>
      <c r="F13" s="53">
        <v>838.0</v>
      </c>
      <c r="G13" s="53">
        <v>870.0</v>
      </c>
      <c r="H13" s="53">
        <v>1200.0</v>
      </c>
      <c r="I13" s="54">
        <f t="shared" si="1"/>
        <v>141.5</v>
      </c>
      <c r="J13" s="54"/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idden="1">
      <c r="A14" s="52">
        <v>44906.0</v>
      </c>
      <c r="B14" s="53">
        <v>840.0</v>
      </c>
      <c r="C14" s="53">
        <v>0.0</v>
      </c>
      <c r="D14" s="53">
        <v>13.0</v>
      </c>
      <c r="E14" s="53">
        <v>1348.0</v>
      </c>
      <c r="F14" s="53">
        <v>860.0</v>
      </c>
      <c r="G14" s="53">
        <v>986.0</v>
      </c>
      <c r="H14" s="53">
        <v>1284.0</v>
      </c>
      <c r="I14" s="54">
        <f t="shared" si="1"/>
        <v>216</v>
      </c>
      <c r="J14" s="54"/>
      <c r="K14" s="5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idden="1">
      <c r="A15" s="52">
        <v>44922.0</v>
      </c>
      <c r="B15" s="53">
        <v>924.0</v>
      </c>
      <c r="C15" s="53">
        <v>0.0</v>
      </c>
      <c r="D15" s="53">
        <v>16.0</v>
      </c>
      <c r="E15" s="53">
        <v>1583.0</v>
      </c>
      <c r="F15" s="53">
        <v>917.0</v>
      </c>
      <c r="G15" s="53">
        <v>1116.0</v>
      </c>
      <c r="H15" s="53">
        <v>1397.0</v>
      </c>
      <c r="I15" s="54">
        <f t="shared" si="1"/>
        <v>311</v>
      </c>
      <c r="J15" s="54"/>
      <c r="K15" s="5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idden="1">
      <c r="A16" s="52">
        <v>44934.0</v>
      </c>
      <c r="B16" s="53">
        <v>943.0</v>
      </c>
      <c r="C16" s="53">
        <v>0.0</v>
      </c>
      <c r="D16" s="53">
        <v>16.0</v>
      </c>
      <c r="E16" s="53">
        <v>1691.0</v>
      </c>
      <c r="F16" s="53">
        <v>941.0</v>
      </c>
      <c r="G16" s="53">
        <v>1148.0</v>
      </c>
      <c r="H16" s="53">
        <v>1465.0</v>
      </c>
      <c r="I16" s="54">
        <f t="shared" si="1"/>
        <v>125.5</v>
      </c>
      <c r="J16" s="54"/>
      <c r="K16" s="5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idden="1">
      <c r="A17" s="52">
        <v>44948.0</v>
      </c>
      <c r="B17" s="53">
        <v>66.0</v>
      </c>
      <c r="C17" s="53">
        <v>0.0</v>
      </c>
      <c r="D17" s="53">
        <v>0.0</v>
      </c>
      <c r="E17" s="53">
        <v>230.0</v>
      </c>
      <c r="F17" s="53">
        <v>54.0</v>
      </c>
      <c r="G17" s="53">
        <v>102.0</v>
      </c>
      <c r="H17" s="53">
        <v>116.0</v>
      </c>
      <c r="I17" s="54">
        <f>(SUM(B17:H17)-0)/2</f>
        <v>284</v>
      </c>
      <c r="J17" s="54"/>
      <c r="K17" s="5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idden="1">
      <c r="A18" s="52">
        <v>44962.0</v>
      </c>
      <c r="B18" s="53">
        <v>117.0</v>
      </c>
      <c r="C18" s="53">
        <v>0.0</v>
      </c>
      <c r="D18" s="53">
        <v>0.0</v>
      </c>
      <c r="E18" s="53">
        <v>435.0</v>
      </c>
      <c r="F18" s="53">
        <v>116.0</v>
      </c>
      <c r="G18" s="53">
        <v>201.0</v>
      </c>
      <c r="H18" s="53">
        <v>239.0</v>
      </c>
      <c r="I18" s="54">
        <f t="shared" ref="I18:I42" si="2">(SUM(B18:H18)-SUM(B17:H17))/2</f>
        <v>270</v>
      </c>
      <c r="J18" s="54"/>
      <c r="K18" s="5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idden="1">
      <c r="A19" s="52">
        <v>44976.0</v>
      </c>
      <c r="B19" s="53">
        <v>161.0</v>
      </c>
      <c r="C19" s="53">
        <v>0.0</v>
      </c>
      <c r="D19" s="53">
        <v>0.0</v>
      </c>
      <c r="E19" s="53">
        <v>577.0</v>
      </c>
      <c r="F19" s="53">
        <v>169.0</v>
      </c>
      <c r="G19" s="53">
        <v>294.0</v>
      </c>
      <c r="H19" s="53">
        <v>318.0</v>
      </c>
      <c r="I19" s="54">
        <f t="shared" si="2"/>
        <v>205.5</v>
      </c>
      <c r="J19" s="54"/>
      <c r="K19" s="5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idden="1">
      <c r="A20" s="52">
        <v>44990.0</v>
      </c>
      <c r="B20" s="53">
        <v>202.0</v>
      </c>
      <c r="C20" s="53">
        <v>0.0</v>
      </c>
      <c r="D20" s="53">
        <v>0.0</v>
      </c>
      <c r="E20" s="53">
        <v>740.0</v>
      </c>
      <c r="F20" s="53">
        <v>227.0</v>
      </c>
      <c r="G20" s="53">
        <v>409.0</v>
      </c>
      <c r="H20" s="53">
        <v>397.0</v>
      </c>
      <c r="I20" s="54">
        <f t="shared" si="2"/>
        <v>228</v>
      </c>
      <c r="J20" s="54"/>
      <c r="K20" s="5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idden="1">
      <c r="A21" s="52">
        <v>45004.0</v>
      </c>
      <c r="B21" s="53">
        <v>234.0</v>
      </c>
      <c r="C21" s="53">
        <v>0.0</v>
      </c>
      <c r="D21" s="53">
        <v>0.0</v>
      </c>
      <c r="E21" s="53">
        <v>950.0</v>
      </c>
      <c r="F21" s="53">
        <v>304.0</v>
      </c>
      <c r="G21" s="53">
        <v>490.0</v>
      </c>
      <c r="H21" s="53">
        <v>507.0</v>
      </c>
      <c r="I21" s="54">
        <f t="shared" si="2"/>
        <v>255</v>
      </c>
      <c r="J21" s="54"/>
      <c r="K21" s="5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idden="1">
      <c r="A22" s="55">
        <v>45018.0</v>
      </c>
      <c r="B22" s="56">
        <v>247.0</v>
      </c>
      <c r="C22" s="56">
        <v>0.0</v>
      </c>
      <c r="D22" s="56">
        <v>0.0</v>
      </c>
      <c r="E22" s="56">
        <v>1111.0</v>
      </c>
      <c r="F22" s="56">
        <v>371.0</v>
      </c>
      <c r="G22" s="56">
        <v>533.0</v>
      </c>
      <c r="H22" s="56">
        <v>588.0</v>
      </c>
      <c r="I22" s="57">
        <f t="shared" si="2"/>
        <v>182.5</v>
      </c>
      <c r="J22" s="57"/>
      <c r="K22" s="5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idden="1">
      <c r="A23" s="55">
        <v>45032.0</v>
      </c>
      <c r="B23" s="56">
        <v>252.0</v>
      </c>
      <c r="C23" s="56">
        <v>0.0</v>
      </c>
      <c r="D23" s="56">
        <v>0.0</v>
      </c>
      <c r="E23" s="56">
        <v>1207.0</v>
      </c>
      <c r="F23" s="56">
        <v>410.0</v>
      </c>
      <c r="G23" s="56">
        <v>574.0</v>
      </c>
      <c r="H23" s="56">
        <v>649.0</v>
      </c>
      <c r="I23" s="57">
        <f t="shared" si="2"/>
        <v>121</v>
      </c>
      <c r="J23" s="57"/>
      <c r="K23" s="5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idden="1">
      <c r="A24" s="55">
        <v>45046.0</v>
      </c>
      <c r="B24" s="56">
        <v>256.0</v>
      </c>
      <c r="C24" s="56">
        <v>0.0</v>
      </c>
      <c r="D24" s="56">
        <v>0.0</v>
      </c>
      <c r="E24" s="56">
        <v>1289.0</v>
      </c>
      <c r="F24" s="56">
        <v>434.0</v>
      </c>
      <c r="G24" s="56">
        <v>604.0</v>
      </c>
      <c r="H24" s="56">
        <v>698.0</v>
      </c>
      <c r="I24" s="57">
        <f t="shared" si="2"/>
        <v>94.5</v>
      </c>
      <c r="J24" s="57"/>
      <c r="K24" s="5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idden="1">
      <c r="A25" s="55">
        <v>45060.0</v>
      </c>
      <c r="B25" s="56">
        <v>256.0</v>
      </c>
      <c r="C25" s="56">
        <v>0.0</v>
      </c>
      <c r="D25" s="56">
        <v>0.0</v>
      </c>
      <c r="E25" s="56">
        <v>1297.0</v>
      </c>
      <c r="F25" s="56">
        <v>436.0</v>
      </c>
      <c r="G25" s="56">
        <v>609.0</v>
      </c>
      <c r="H25" s="56">
        <v>706.0</v>
      </c>
      <c r="I25" s="57">
        <f t="shared" si="2"/>
        <v>11.5</v>
      </c>
      <c r="J25" s="57"/>
      <c r="K25" s="5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idden="1">
      <c r="A26" s="55">
        <v>45074.0</v>
      </c>
      <c r="B26" s="56">
        <v>256.0</v>
      </c>
      <c r="C26" s="56">
        <v>0.0</v>
      </c>
      <c r="D26" s="56">
        <v>0.0</v>
      </c>
      <c r="E26" s="56">
        <v>1305.0</v>
      </c>
      <c r="F26" s="56">
        <v>438.0</v>
      </c>
      <c r="G26" s="56">
        <v>611.0</v>
      </c>
      <c r="H26" s="56">
        <v>710.0</v>
      </c>
      <c r="I26" s="57">
        <f t="shared" si="2"/>
        <v>8</v>
      </c>
      <c r="J26" s="57"/>
      <c r="K26" s="5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idden="1">
      <c r="A27" s="55">
        <v>45088.0</v>
      </c>
      <c r="B27" s="56">
        <v>256.0</v>
      </c>
      <c r="C27" s="56">
        <v>0.0</v>
      </c>
      <c r="D27" s="56">
        <v>0.0</v>
      </c>
      <c r="E27" s="56">
        <v>1305.0</v>
      </c>
      <c r="F27" s="56">
        <v>438.0</v>
      </c>
      <c r="G27" s="56">
        <v>611.0</v>
      </c>
      <c r="H27" s="56">
        <v>710.0</v>
      </c>
      <c r="I27" s="57">
        <f t="shared" si="2"/>
        <v>0</v>
      </c>
      <c r="J27" s="57"/>
      <c r="K27" s="5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idden="1">
      <c r="A28" s="55">
        <v>45102.0</v>
      </c>
      <c r="B28" s="56">
        <v>256.0</v>
      </c>
      <c r="C28" s="56">
        <v>0.0</v>
      </c>
      <c r="D28" s="56">
        <v>0.0</v>
      </c>
      <c r="E28" s="56">
        <v>1305.0</v>
      </c>
      <c r="F28" s="56">
        <v>438.0</v>
      </c>
      <c r="G28" s="56">
        <v>611.0</v>
      </c>
      <c r="H28" s="56">
        <v>710.0</v>
      </c>
      <c r="I28" s="57">
        <f t="shared" si="2"/>
        <v>0</v>
      </c>
      <c r="J28" s="57"/>
      <c r="K28" s="5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idden="1">
      <c r="A29" s="55">
        <v>45116.0</v>
      </c>
      <c r="B29" s="56">
        <v>256.0</v>
      </c>
      <c r="C29" s="56">
        <v>0.0</v>
      </c>
      <c r="D29" s="56">
        <v>0.0</v>
      </c>
      <c r="E29" s="56">
        <v>1305.0</v>
      </c>
      <c r="F29" s="56">
        <v>438.0</v>
      </c>
      <c r="G29" s="56">
        <v>611.0</v>
      </c>
      <c r="H29" s="56">
        <v>710.0</v>
      </c>
      <c r="I29" s="57">
        <f t="shared" si="2"/>
        <v>0</v>
      </c>
      <c r="J29" s="57"/>
      <c r="K29" s="5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idden="1">
      <c r="A30" s="55">
        <v>45130.0</v>
      </c>
      <c r="B30" s="56">
        <v>256.0</v>
      </c>
      <c r="C30" s="56">
        <v>0.0</v>
      </c>
      <c r="D30" s="56">
        <v>0.0</v>
      </c>
      <c r="E30" s="56">
        <v>1307.0</v>
      </c>
      <c r="F30" s="56">
        <v>438.0</v>
      </c>
      <c r="G30" s="56">
        <v>611.0</v>
      </c>
      <c r="H30" s="56">
        <v>710.0</v>
      </c>
      <c r="I30" s="57">
        <f t="shared" si="2"/>
        <v>1</v>
      </c>
      <c r="J30" s="57"/>
      <c r="K30" s="5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idden="1">
      <c r="A31" s="55">
        <v>45144.0</v>
      </c>
      <c r="B31" s="56">
        <v>256.0</v>
      </c>
      <c r="C31" s="56">
        <v>0.0</v>
      </c>
      <c r="D31" s="56">
        <v>0.0</v>
      </c>
      <c r="E31" s="56">
        <v>1307.0</v>
      </c>
      <c r="F31" s="56">
        <v>439.0</v>
      </c>
      <c r="G31" s="56">
        <v>611.0</v>
      </c>
      <c r="H31" s="56">
        <v>710.0</v>
      </c>
      <c r="I31" s="57">
        <f t="shared" si="2"/>
        <v>0.5</v>
      </c>
      <c r="J31" s="57"/>
      <c r="K31" s="5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idden="1">
      <c r="A32" s="55">
        <v>45158.0</v>
      </c>
      <c r="B32" s="56">
        <v>256.0</v>
      </c>
      <c r="C32" s="56">
        <v>0.0</v>
      </c>
      <c r="D32" s="56">
        <v>0.0</v>
      </c>
      <c r="E32" s="56">
        <v>1307.0</v>
      </c>
      <c r="F32" s="56">
        <v>452.0</v>
      </c>
      <c r="G32" s="56">
        <v>611.0</v>
      </c>
      <c r="H32" s="56">
        <v>710.0</v>
      </c>
      <c r="I32" s="57">
        <f t="shared" si="2"/>
        <v>6.5</v>
      </c>
      <c r="J32" s="57"/>
      <c r="K32" s="5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idden="1">
      <c r="A33" s="55">
        <v>45172.0</v>
      </c>
      <c r="B33" s="56">
        <v>256.0</v>
      </c>
      <c r="C33" s="56">
        <v>0.0</v>
      </c>
      <c r="D33" s="56">
        <v>0.0</v>
      </c>
      <c r="E33" s="56">
        <v>1307.0</v>
      </c>
      <c r="F33" s="56">
        <v>452.0</v>
      </c>
      <c r="G33" s="56">
        <v>611.0</v>
      </c>
      <c r="H33" s="56">
        <v>710.0</v>
      </c>
      <c r="I33" s="57">
        <f t="shared" si="2"/>
        <v>0</v>
      </c>
      <c r="J33" s="57"/>
      <c r="K33" s="5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idden="1">
      <c r="A34" s="55">
        <v>45186.0</v>
      </c>
      <c r="B34" s="56">
        <v>256.0</v>
      </c>
      <c r="C34" s="56">
        <v>0.0</v>
      </c>
      <c r="D34" s="56">
        <v>0.0</v>
      </c>
      <c r="E34" s="56">
        <v>1307.0</v>
      </c>
      <c r="F34" s="56">
        <v>452.0</v>
      </c>
      <c r="G34" s="56">
        <v>611.0</v>
      </c>
      <c r="H34" s="56">
        <v>710.0</v>
      </c>
      <c r="I34" s="57">
        <f t="shared" si="2"/>
        <v>0</v>
      </c>
      <c r="J34" s="57"/>
      <c r="K34" s="5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idden="1">
      <c r="A35" s="55">
        <v>45200.0</v>
      </c>
      <c r="B35" s="56">
        <v>256.0</v>
      </c>
      <c r="C35" s="56">
        <v>0.0</v>
      </c>
      <c r="D35" s="56">
        <v>0.0</v>
      </c>
      <c r="E35" s="56">
        <v>1308.0</v>
      </c>
      <c r="F35" s="56">
        <v>452.0</v>
      </c>
      <c r="G35" s="56">
        <v>611.0</v>
      </c>
      <c r="H35" s="56">
        <v>710.0</v>
      </c>
      <c r="I35" s="57">
        <f t="shared" si="2"/>
        <v>0.5</v>
      </c>
      <c r="J35" s="57"/>
      <c r="K35" s="5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idden="1">
      <c r="A36" s="55">
        <v>45214.0</v>
      </c>
      <c r="B36" s="56">
        <v>256.0</v>
      </c>
      <c r="C36" s="56">
        <v>0.0</v>
      </c>
      <c r="D36" s="56">
        <v>0.0</v>
      </c>
      <c r="E36" s="56">
        <v>1309.0</v>
      </c>
      <c r="F36" s="56">
        <v>452.0</v>
      </c>
      <c r="G36" s="56">
        <v>611.0</v>
      </c>
      <c r="H36" s="56">
        <v>711.0</v>
      </c>
      <c r="I36" s="57">
        <f t="shared" si="2"/>
        <v>1</v>
      </c>
      <c r="J36" s="57"/>
      <c r="K36" s="5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idden="1">
      <c r="A37" s="55">
        <v>45228.0</v>
      </c>
      <c r="B37" s="56">
        <v>262.0</v>
      </c>
      <c r="C37" s="56">
        <v>0.0</v>
      </c>
      <c r="D37" s="56">
        <v>0.0</v>
      </c>
      <c r="E37" s="56">
        <v>1387.0</v>
      </c>
      <c r="F37" s="56">
        <v>475.0</v>
      </c>
      <c r="G37" s="56">
        <v>648.0</v>
      </c>
      <c r="H37" s="56">
        <v>743.0</v>
      </c>
      <c r="I37" s="57">
        <f t="shared" si="2"/>
        <v>88</v>
      </c>
      <c r="J37" s="57"/>
      <c r="K37" s="5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idden="1">
      <c r="A38" s="55">
        <v>45238.0</v>
      </c>
      <c r="B38" s="56">
        <v>268.0</v>
      </c>
      <c r="C38" s="56">
        <v>0.0</v>
      </c>
      <c r="D38" s="56">
        <v>0.0</v>
      </c>
      <c r="E38" s="56">
        <v>1467.0</v>
      </c>
      <c r="F38" s="56">
        <v>500.0</v>
      </c>
      <c r="G38" s="56">
        <v>677.0</v>
      </c>
      <c r="H38" s="56">
        <v>779.0</v>
      </c>
      <c r="I38" s="57">
        <f t="shared" si="2"/>
        <v>88</v>
      </c>
      <c r="J38" s="57"/>
      <c r="K38" s="5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idden="1">
      <c r="A39" s="55">
        <v>45256.0</v>
      </c>
      <c r="B39" s="56">
        <v>307.0</v>
      </c>
      <c r="C39" s="56">
        <v>0.0</v>
      </c>
      <c r="D39" s="56">
        <v>0.0</v>
      </c>
      <c r="E39" s="56">
        <v>1605.0</v>
      </c>
      <c r="F39" s="56">
        <v>554.0</v>
      </c>
      <c r="G39" s="56">
        <v>817.0</v>
      </c>
      <c r="H39" s="56">
        <v>867.0</v>
      </c>
      <c r="I39" s="57">
        <f t="shared" si="2"/>
        <v>229.5</v>
      </c>
      <c r="J39" s="57"/>
      <c r="K39" s="5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idden="1">
      <c r="A40" s="55">
        <v>45270.0</v>
      </c>
      <c r="B40" s="56">
        <v>351.0</v>
      </c>
      <c r="C40" s="56">
        <v>0.0</v>
      </c>
      <c r="D40" s="56">
        <v>0.0</v>
      </c>
      <c r="E40" s="56">
        <v>1870.0</v>
      </c>
      <c r="F40" s="56">
        <v>673.0</v>
      </c>
      <c r="G40" s="56">
        <v>921.0</v>
      </c>
      <c r="H40" s="56">
        <v>980.0</v>
      </c>
      <c r="I40" s="57">
        <f t="shared" si="2"/>
        <v>322.5</v>
      </c>
      <c r="J40" s="57"/>
      <c r="K40" s="5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idden="1">
      <c r="A41" s="55">
        <v>45284.0</v>
      </c>
      <c r="B41" s="56">
        <v>380.0</v>
      </c>
      <c r="C41" s="56">
        <v>0.0</v>
      </c>
      <c r="D41" s="56">
        <v>0.0</v>
      </c>
      <c r="E41" s="56">
        <v>2072.0</v>
      </c>
      <c r="F41" s="56">
        <v>753.0</v>
      </c>
      <c r="G41" s="56">
        <v>1013.0</v>
      </c>
      <c r="H41" s="56">
        <v>1047.0</v>
      </c>
      <c r="I41" s="57">
        <f t="shared" si="2"/>
        <v>235</v>
      </c>
      <c r="J41" s="57"/>
      <c r="K41" s="5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idden="1">
      <c r="A42" s="55">
        <v>45298.0</v>
      </c>
      <c r="B42" s="59">
        <v>404.0</v>
      </c>
      <c r="C42" s="59">
        <v>0.0</v>
      </c>
      <c r="D42" s="59">
        <v>0.0</v>
      </c>
      <c r="E42" s="59">
        <v>2273.0</v>
      </c>
      <c r="F42" s="59">
        <v>832.0</v>
      </c>
      <c r="G42" s="59">
        <v>1126.0</v>
      </c>
      <c r="H42" s="59">
        <v>1090.0</v>
      </c>
      <c r="I42" s="60">
        <f t="shared" si="2"/>
        <v>230</v>
      </c>
      <c r="J42" s="57"/>
      <c r="K42" s="58"/>
      <c r="L42" s="61" t="s">
        <v>60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idden="1">
      <c r="A43" s="55">
        <v>45298.0</v>
      </c>
      <c r="B43" s="59">
        <v>0.0</v>
      </c>
      <c r="C43" s="59">
        <v>0.0</v>
      </c>
      <c r="D43" s="59">
        <v>0.0</v>
      </c>
      <c r="E43" s="59">
        <v>0.0</v>
      </c>
      <c r="F43" s="59">
        <v>0.0</v>
      </c>
      <c r="G43" s="59">
        <v>0.0</v>
      </c>
      <c r="H43" s="59">
        <v>0.0</v>
      </c>
      <c r="I43" s="59">
        <v>0.0</v>
      </c>
      <c r="J43" s="57"/>
      <c r="K43" s="5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idden="1">
      <c r="A44" s="55">
        <v>45312.0</v>
      </c>
      <c r="B44" s="56">
        <v>92.0</v>
      </c>
      <c r="C44" s="56">
        <v>0.0</v>
      </c>
      <c r="D44" s="56">
        <v>0.0</v>
      </c>
      <c r="E44" s="56">
        <v>448.0</v>
      </c>
      <c r="F44" s="56">
        <v>191.0</v>
      </c>
      <c r="G44" s="56">
        <v>237.0</v>
      </c>
      <c r="H44" s="56">
        <v>152.0</v>
      </c>
      <c r="I44" s="57">
        <f t="shared" ref="I44:I110" si="3">(SUM(B44:H44)-SUM(B43:H43))/2</f>
        <v>560</v>
      </c>
      <c r="J44" s="57"/>
      <c r="K44" s="5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idden="1">
      <c r="A45" s="55">
        <v>45326.0</v>
      </c>
      <c r="B45" s="56">
        <v>119.0</v>
      </c>
      <c r="C45" s="56">
        <v>0.0</v>
      </c>
      <c r="D45" s="56">
        <v>0.0</v>
      </c>
      <c r="E45" s="56">
        <v>694.0</v>
      </c>
      <c r="F45" s="56">
        <v>291.0</v>
      </c>
      <c r="G45" s="56">
        <v>334.0</v>
      </c>
      <c r="H45" s="56">
        <v>257.0</v>
      </c>
      <c r="I45" s="57">
        <f t="shared" si="3"/>
        <v>287.5</v>
      </c>
      <c r="J45" s="57"/>
      <c r="K45" s="5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idden="1">
      <c r="A46" s="55">
        <v>45340.0</v>
      </c>
      <c r="B46" s="56">
        <v>133.0</v>
      </c>
      <c r="C46" s="56">
        <v>0.0</v>
      </c>
      <c r="D46" s="56">
        <v>0.0</v>
      </c>
      <c r="E46" s="56">
        <v>885.0</v>
      </c>
      <c r="F46" s="56">
        <v>394.0</v>
      </c>
      <c r="G46" s="56">
        <v>433.0</v>
      </c>
      <c r="H46" s="56">
        <v>367.0</v>
      </c>
      <c r="I46" s="57">
        <f t="shared" si="3"/>
        <v>258.5</v>
      </c>
      <c r="J46" s="57"/>
      <c r="K46" s="5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idden="1">
      <c r="A47" s="55">
        <v>45354.0</v>
      </c>
      <c r="B47" s="56">
        <v>140.0</v>
      </c>
      <c r="C47" s="56">
        <v>0.0</v>
      </c>
      <c r="D47" s="56">
        <v>0.0</v>
      </c>
      <c r="E47" s="56">
        <v>1115.0</v>
      </c>
      <c r="F47" s="56">
        <v>514.0</v>
      </c>
      <c r="G47" s="56">
        <v>553.0</v>
      </c>
      <c r="H47" s="56">
        <v>490.0</v>
      </c>
      <c r="I47" s="57">
        <f t="shared" si="3"/>
        <v>300</v>
      </c>
      <c r="J47" s="57"/>
      <c r="K47" s="5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idden="1">
      <c r="A48" s="55">
        <v>45369.0</v>
      </c>
      <c r="B48" s="56">
        <v>144.0</v>
      </c>
      <c r="C48" s="56">
        <v>0.0</v>
      </c>
      <c r="D48" s="56">
        <v>0.0</v>
      </c>
      <c r="E48" s="56">
        <v>1315.0</v>
      </c>
      <c r="F48" s="56">
        <v>625.0</v>
      </c>
      <c r="G48" s="56">
        <v>662.0</v>
      </c>
      <c r="H48" s="56">
        <v>606.0</v>
      </c>
      <c r="I48" s="57">
        <f t="shared" si="3"/>
        <v>270</v>
      </c>
      <c r="J48" s="57"/>
      <c r="K48" s="5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idden="1">
      <c r="A49" s="55">
        <v>45382.0</v>
      </c>
      <c r="B49" s="56">
        <v>145.0</v>
      </c>
      <c r="C49" s="56">
        <v>0.0</v>
      </c>
      <c r="D49" s="56">
        <v>0.0</v>
      </c>
      <c r="E49" s="56">
        <v>1470.0</v>
      </c>
      <c r="F49" s="56">
        <v>710.0</v>
      </c>
      <c r="G49" s="56">
        <v>745.0</v>
      </c>
      <c r="H49" s="56">
        <v>675.0</v>
      </c>
      <c r="I49" s="57">
        <f t="shared" si="3"/>
        <v>196.5</v>
      </c>
      <c r="J49" s="57"/>
      <c r="K49" s="5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idden="1">
      <c r="A50" s="55">
        <v>45396.0</v>
      </c>
      <c r="B50" s="56">
        <v>145.0</v>
      </c>
      <c r="C50" s="56">
        <v>0.0</v>
      </c>
      <c r="D50" s="56">
        <v>0.0</v>
      </c>
      <c r="E50" s="56">
        <v>1554.0</v>
      </c>
      <c r="F50" s="56">
        <v>748.0</v>
      </c>
      <c r="G50" s="56">
        <v>778.0</v>
      </c>
      <c r="H50" s="56">
        <v>705.0</v>
      </c>
      <c r="I50" s="57">
        <f t="shared" si="3"/>
        <v>92.5</v>
      </c>
      <c r="J50" s="57"/>
      <c r="K50" s="5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idden="1">
      <c r="A51" s="55">
        <v>45410.0</v>
      </c>
      <c r="B51" s="56">
        <v>146.0</v>
      </c>
      <c r="C51" s="56">
        <v>0.0</v>
      </c>
      <c r="D51" s="56">
        <v>0.0</v>
      </c>
      <c r="E51" s="56">
        <v>1726.0</v>
      </c>
      <c r="F51" s="56">
        <v>838.0</v>
      </c>
      <c r="G51" s="56">
        <v>853.0</v>
      </c>
      <c r="H51" s="56">
        <v>774.0</v>
      </c>
      <c r="I51" s="57">
        <f t="shared" si="3"/>
        <v>203.5</v>
      </c>
      <c r="J51" s="57"/>
      <c r="K51" s="5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idden="1">
      <c r="A52" s="55">
        <v>45424.0</v>
      </c>
      <c r="B52" s="56">
        <v>146.0</v>
      </c>
      <c r="C52" s="56">
        <v>0.0</v>
      </c>
      <c r="D52" s="56">
        <v>0.0</v>
      </c>
      <c r="E52" s="56">
        <v>1736.0</v>
      </c>
      <c r="F52" s="56">
        <v>844.0</v>
      </c>
      <c r="G52" s="56">
        <v>855.0</v>
      </c>
      <c r="H52" s="56">
        <v>775.0</v>
      </c>
      <c r="I52" s="57">
        <f t="shared" si="3"/>
        <v>9.5</v>
      </c>
      <c r="J52" s="57"/>
      <c r="K52" s="5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idden="1">
      <c r="A53" s="55">
        <v>45438.0</v>
      </c>
      <c r="B53" s="56">
        <v>146.0</v>
      </c>
      <c r="C53" s="56">
        <v>0.0</v>
      </c>
      <c r="D53" s="56">
        <v>0.0</v>
      </c>
      <c r="E53" s="56">
        <v>1736.0</v>
      </c>
      <c r="F53" s="56">
        <v>844.0</v>
      </c>
      <c r="G53" s="56">
        <v>855.0</v>
      </c>
      <c r="H53" s="56">
        <v>775.0</v>
      </c>
      <c r="I53" s="57">
        <f t="shared" si="3"/>
        <v>0</v>
      </c>
      <c r="J53" s="57"/>
      <c r="K53" s="5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idden="1">
      <c r="A54" s="55">
        <v>45452.0</v>
      </c>
      <c r="B54" s="56">
        <v>0.0</v>
      </c>
      <c r="C54" s="56">
        <v>0.0</v>
      </c>
      <c r="D54" s="56">
        <v>0.0</v>
      </c>
      <c r="E54" s="56">
        <v>2.0</v>
      </c>
      <c r="F54" s="56">
        <v>1.0</v>
      </c>
      <c r="G54" s="56">
        <v>0.0</v>
      </c>
      <c r="H54" s="56">
        <v>0.0</v>
      </c>
      <c r="I54" s="57">
        <f t="shared" si="3"/>
        <v>-2176.5</v>
      </c>
      <c r="J54" s="57"/>
      <c r="K54" s="58"/>
      <c r="L54" s="61" t="s">
        <v>61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idden="1">
      <c r="A55" s="55">
        <v>45466.0</v>
      </c>
      <c r="B55" s="56">
        <v>0.0</v>
      </c>
      <c r="C55" s="56">
        <v>0.0</v>
      </c>
      <c r="D55" s="56">
        <v>0.0</v>
      </c>
      <c r="E55" s="56">
        <v>7.0</v>
      </c>
      <c r="F55" s="56">
        <v>4.0</v>
      </c>
      <c r="G55" s="56">
        <v>0.0</v>
      </c>
      <c r="H55" s="56">
        <v>0.0</v>
      </c>
      <c r="I55" s="57">
        <f t="shared" si="3"/>
        <v>4</v>
      </c>
      <c r="J55" s="57"/>
      <c r="K55" s="5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idden="1">
      <c r="A56" s="55">
        <v>45480.0</v>
      </c>
      <c r="B56" s="56">
        <v>0.0</v>
      </c>
      <c r="C56" s="56">
        <v>0.0</v>
      </c>
      <c r="D56" s="56">
        <v>0.0</v>
      </c>
      <c r="E56" s="56">
        <v>10.0</v>
      </c>
      <c r="F56" s="56">
        <v>4.0</v>
      </c>
      <c r="G56" s="56">
        <v>0.0</v>
      </c>
      <c r="H56" s="56">
        <v>0.0</v>
      </c>
      <c r="I56" s="57">
        <f t="shared" si="3"/>
        <v>1.5</v>
      </c>
      <c r="J56" s="57"/>
      <c r="K56" s="5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idden="1">
      <c r="A57" s="55">
        <v>45494.0</v>
      </c>
      <c r="B57" s="56">
        <v>0.0</v>
      </c>
      <c r="C57" s="56">
        <v>0.0</v>
      </c>
      <c r="D57" s="56">
        <v>0.0</v>
      </c>
      <c r="E57" s="56">
        <v>10.0</v>
      </c>
      <c r="F57" s="56">
        <v>4.0</v>
      </c>
      <c r="G57" s="56">
        <v>0.0</v>
      </c>
      <c r="H57" s="56">
        <v>0.0</v>
      </c>
      <c r="I57" s="57">
        <f t="shared" si="3"/>
        <v>0</v>
      </c>
      <c r="J57" s="57"/>
      <c r="K57" s="5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idden="1">
      <c r="A58" s="55">
        <v>45508.0</v>
      </c>
      <c r="B58" s="56">
        <v>0.0</v>
      </c>
      <c r="C58" s="56">
        <v>0.0</v>
      </c>
      <c r="D58" s="56">
        <v>0.0</v>
      </c>
      <c r="E58" s="56">
        <v>10.0</v>
      </c>
      <c r="F58" s="56">
        <v>4.0</v>
      </c>
      <c r="G58" s="56">
        <v>0.0</v>
      </c>
      <c r="H58" s="56">
        <v>0.0</v>
      </c>
      <c r="I58" s="57">
        <f t="shared" si="3"/>
        <v>0</v>
      </c>
      <c r="J58" s="57"/>
      <c r="K58" s="5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idden="1">
      <c r="A59" s="55">
        <v>45522.0</v>
      </c>
      <c r="B59" s="56">
        <v>0.0</v>
      </c>
      <c r="C59" s="56">
        <v>0.0</v>
      </c>
      <c r="D59" s="56">
        <v>0.0</v>
      </c>
      <c r="E59" s="56">
        <v>10.0</v>
      </c>
      <c r="F59" s="56">
        <v>4.0</v>
      </c>
      <c r="G59" s="56">
        <v>0.0</v>
      </c>
      <c r="H59" s="56">
        <v>0.0</v>
      </c>
      <c r="I59" s="57">
        <f t="shared" si="3"/>
        <v>0</v>
      </c>
      <c r="J59" s="57"/>
      <c r="K59" s="5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idden="1">
      <c r="A60" s="55">
        <v>45536.0</v>
      </c>
      <c r="B60" s="56">
        <v>0.0</v>
      </c>
      <c r="C60" s="56">
        <v>0.0</v>
      </c>
      <c r="D60" s="56">
        <v>0.0</v>
      </c>
      <c r="E60" s="56">
        <v>10.0</v>
      </c>
      <c r="F60" s="56">
        <v>4.0</v>
      </c>
      <c r="G60" s="56">
        <v>0.0</v>
      </c>
      <c r="H60" s="56">
        <v>0.0</v>
      </c>
      <c r="I60" s="57">
        <f t="shared" si="3"/>
        <v>0</v>
      </c>
      <c r="J60" s="57"/>
      <c r="K60" s="5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idden="1">
      <c r="A61" s="55">
        <v>45550.0</v>
      </c>
      <c r="B61" s="56">
        <v>0.0</v>
      </c>
      <c r="C61" s="56">
        <v>0.0</v>
      </c>
      <c r="D61" s="56">
        <v>0.0</v>
      </c>
      <c r="E61" s="56">
        <v>24.0</v>
      </c>
      <c r="F61" s="56">
        <v>11.0</v>
      </c>
      <c r="G61" s="56">
        <v>6.0</v>
      </c>
      <c r="H61" s="56">
        <v>1.0</v>
      </c>
      <c r="I61" s="57">
        <f t="shared" si="3"/>
        <v>14</v>
      </c>
      <c r="J61" s="57"/>
      <c r="K61" s="5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idden="1">
      <c r="A62" s="55">
        <v>45564.0</v>
      </c>
      <c r="B62" s="56">
        <v>0.0</v>
      </c>
      <c r="C62" s="56">
        <v>0.0</v>
      </c>
      <c r="D62" s="56">
        <v>0.0</v>
      </c>
      <c r="E62" s="56">
        <v>38.0</v>
      </c>
      <c r="F62" s="56">
        <v>21.0</v>
      </c>
      <c r="G62" s="56">
        <v>12.0</v>
      </c>
      <c r="H62" s="56">
        <v>3.0</v>
      </c>
      <c r="I62" s="57">
        <f t="shared" si="3"/>
        <v>16</v>
      </c>
      <c r="J62" s="57"/>
      <c r="K62" s="5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idden="1">
      <c r="A63" s="55">
        <v>45578.0</v>
      </c>
      <c r="B63" s="56">
        <v>0.0</v>
      </c>
      <c r="C63" s="56">
        <v>0.0</v>
      </c>
      <c r="D63" s="56">
        <v>0.0</v>
      </c>
      <c r="E63" s="56">
        <v>128.0</v>
      </c>
      <c r="F63" s="56">
        <v>63.0</v>
      </c>
      <c r="G63" s="56">
        <v>69.0</v>
      </c>
      <c r="H63" s="56">
        <v>24.0</v>
      </c>
      <c r="I63" s="57">
        <f t="shared" si="3"/>
        <v>105</v>
      </c>
      <c r="J63" s="57"/>
      <c r="K63" s="5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idden="1">
      <c r="A64" s="55">
        <v>45592.0</v>
      </c>
      <c r="B64" s="56">
        <v>1.0</v>
      </c>
      <c r="C64" s="56">
        <v>0.0</v>
      </c>
      <c r="D64" s="56">
        <v>0.0</v>
      </c>
      <c r="E64" s="56">
        <v>212.0</v>
      </c>
      <c r="F64" s="56">
        <v>105.0</v>
      </c>
      <c r="G64" s="56">
        <v>131.0</v>
      </c>
      <c r="H64" s="56">
        <v>44.0</v>
      </c>
      <c r="I64" s="57">
        <f t="shared" si="3"/>
        <v>104.5</v>
      </c>
      <c r="J64" s="57"/>
      <c r="K64" s="5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idden="1">
      <c r="A65" s="55">
        <v>45606.0</v>
      </c>
      <c r="B65" s="56">
        <v>4.0</v>
      </c>
      <c r="C65" s="56">
        <v>0.0</v>
      </c>
      <c r="D65" s="56">
        <v>0.0</v>
      </c>
      <c r="E65" s="56">
        <v>362.0</v>
      </c>
      <c r="F65" s="56">
        <v>177.0</v>
      </c>
      <c r="G65" s="56">
        <v>239.0</v>
      </c>
      <c r="H65" s="56">
        <v>97.0</v>
      </c>
      <c r="I65" s="57">
        <f t="shared" si="3"/>
        <v>193</v>
      </c>
      <c r="J65" s="57"/>
      <c r="K65" s="5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idden="1">
      <c r="A66" s="55">
        <v>45620.0</v>
      </c>
      <c r="B66" s="56">
        <v>4.0</v>
      </c>
      <c r="C66" s="56">
        <v>0.0</v>
      </c>
      <c r="D66" s="56">
        <v>0.0</v>
      </c>
      <c r="E66" s="56">
        <v>362.0</v>
      </c>
      <c r="F66" s="56">
        <v>177.0</v>
      </c>
      <c r="G66" s="56">
        <v>239.0</v>
      </c>
      <c r="H66" s="56">
        <v>97.0</v>
      </c>
      <c r="I66" s="57">
        <f t="shared" si="3"/>
        <v>0</v>
      </c>
      <c r="J66" s="57"/>
      <c r="K66" s="5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idden="1">
      <c r="A67" s="55">
        <v>45634.0</v>
      </c>
      <c r="B67" s="56">
        <v>49.0</v>
      </c>
      <c r="C67" s="56">
        <v>0.0</v>
      </c>
      <c r="D67" s="56">
        <v>0.0</v>
      </c>
      <c r="E67" s="56">
        <v>805.0</v>
      </c>
      <c r="F67" s="56">
        <v>393.0</v>
      </c>
      <c r="G67" s="56">
        <v>526.0</v>
      </c>
      <c r="H67" s="56">
        <v>313.0</v>
      </c>
      <c r="I67" s="57">
        <f t="shared" si="3"/>
        <v>603.5</v>
      </c>
      <c r="J67" s="57"/>
      <c r="K67" s="5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idden="1">
      <c r="A68" s="55">
        <v>45648.0</v>
      </c>
      <c r="B68" s="56">
        <v>64.0</v>
      </c>
      <c r="C68" s="56">
        <v>0.0</v>
      </c>
      <c r="D68" s="56">
        <v>0.0</v>
      </c>
      <c r="E68" s="56">
        <v>1067.0</v>
      </c>
      <c r="F68" s="56">
        <v>525.0</v>
      </c>
      <c r="G68" s="56">
        <v>665.0</v>
      </c>
      <c r="H68" s="56">
        <v>435.0</v>
      </c>
      <c r="I68" s="57">
        <f t="shared" si="3"/>
        <v>335</v>
      </c>
      <c r="J68" s="57"/>
      <c r="K68" s="5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55">
        <v>45662.0</v>
      </c>
      <c r="B69" s="56">
        <v>91.0</v>
      </c>
      <c r="C69" s="56">
        <v>0.0</v>
      </c>
      <c r="D69" s="56">
        <v>0.0</v>
      </c>
      <c r="E69" s="56">
        <v>1353.0</v>
      </c>
      <c r="F69" s="56">
        <v>669.0</v>
      </c>
      <c r="G69" s="56">
        <v>824.0</v>
      </c>
      <c r="H69" s="56">
        <v>571.0</v>
      </c>
      <c r="I69" s="57">
        <f t="shared" si="3"/>
        <v>376</v>
      </c>
      <c r="J69" s="57"/>
      <c r="K69" s="58"/>
      <c r="L69" s="61" t="s">
        <v>62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55">
        <v>45675.0</v>
      </c>
      <c r="B70" s="56">
        <v>0.0</v>
      </c>
      <c r="C70" s="56">
        <v>0.0</v>
      </c>
      <c r="D70" s="56">
        <v>0.0</v>
      </c>
      <c r="E70" s="56">
        <v>0.0</v>
      </c>
      <c r="F70" s="56">
        <v>0.0</v>
      </c>
      <c r="G70" s="56">
        <v>0.0</v>
      </c>
      <c r="H70" s="56">
        <v>0.0</v>
      </c>
      <c r="I70" s="57">
        <f t="shared" si="3"/>
        <v>-1754</v>
      </c>
      <c r="J70" s="57"/>
      <c r="K70" s="5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55">
        <v>45676.0</v>
      </c>
      <c r="B71" s="56">
        <v>22.0</v>
      </c>
      <c r="C71" s="56">
        <v>0.0</v>
      </c>
      <c r="D71" s="56">
        <v>0.0</v>
      </c>
      <c r="E71" s="56">
        <v>427.0</v>
      </c>
      <c r="F71" s="56">
        <v>211.0</v>
      </c>
      <c r="G71" s="56">
        <v>218.0</v>
      </c>
      <c r="H71" s="56">
        <v>200.0</v>
      </c>
      <c r="I71" s="57">
        <f t="shared" si="3"/>
        <v>539</v>
      </c>
      <c r="J71" s="57"/>
      <c r="K71" s="5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55">
        <v>45690.0</v>
      </c>
      <c r="B72" s="56">
        <v>28.0</v>
      </c>
      <c r="C72" s="56">
        <v>0.0</v>
      </c>
      <c r="D72" s="56">
        <v>0.0</v>
      </c>
      <c r="E72" s="56">
        <v>704.0</v>
      </c>
      <c r="F72" s="56">
        <v>350.0</v>
      </c>
      <c r="G72" s="56">
        <v>363.0</v>
      </c>
      <c r="H72" s="56">
        <v>336.0</v>
      </c>
      <c r="I72" s="57">
        <f t="shared" si="3"/>
        <v>351.5</v>
      </c>
      <c r="J72" s="57"/>
      <c r="K72" s="5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55">
        <v>45704.0</v>
      </c>
      <c r="B73" s="56">
        <v>40.0</v>
      </c>
      <c r="C73" s="56">
        <v>0.0</v>
      </c>
      <c r="D73" s="56">
        <v>0.0</v>
      </c>
      <c r="E73" s="56">
        <v>1020.0</v>
      </c>
      <c r="F73" s="56">
        <v>514.0</v>
      </c>
      <c r="G73" s="56">
        <v>544.0</v>
      </c>
      <c r="H73" s="56">
        <v>481.0</v>
      </c>
      <c r="I73" s="57">
        <f t="shared" si="3"/>
        <v>409</v>
      </c>
      <c r="J73" s="57"/>
      <c r="K73" s="5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55">
        <v>45724.0</v>
      </c>
      <c r="B74" s="56">
        <v>52.0</v>
      </c>
      <c r="C74" s="56">
        <v>0.0</v>
      </c>
      <c r="D74" s="56">
        <v>0.0</v>
      </c>
      <c r="E74" s="56">
        <v>1325.0</v>
      </c>
      <c r="F74" s="56">
        <v>663.0</v>
      </c>
      <c r="G74" s="56">
        <v>753.0</v>
      </c>
      <c r="H74" s="56">
        <v>623.0</v>
      </c>
      <c r="I74" s="57">
        <f t="shared" si="3"/>
        <v>408.5</v>
      </c>
      <c r="J74" s="57"/>
      <c r="K74" s="5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55">
        <v>45732.0</v>
      </c>
      <c r="B75" s="56">
        <v>53.0</v>
      </c>
      <c r="C75" s="56">
        <v>0.0</v>
      </c>
      <c r="D75" s="56">
        <v>0.0</v>
      </c>
      <c r="E75" s="56">
        <v>1427.0</v>
      </c>
      <c r="F75" s="56">
        <v>713.0</v>
      </c>
      <c r="G75" s="56">
        <v>828.0</v>
      </c>
      <c r="H75" s="56">
        <v>664.0</v>
      </c>
      <c r="I75" s="57">
        <f t="shared" si="3"/>
        <v>134.5</v>
      </c>
      <c r="J75" s="57"/>
      <c r="K75" s="5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55">
        <v>45746.0</v>
      </c>
      <c r="B76" s="56">
        <v>54.0</v>
      </c>
      <c r="C76" s="56">
        <v>0.0</v>
      </c>
      <c r="D76" s="56">
        <v>0.0</v>
      </c>
      <c r="E76" s="56">
        <v>1572.0</v>
      </c>
      <c r="F76" s="56">
        <v>789.0</v>
      </c>
      <c r="G76" s="56">
        <v>919.0</v>
      </c>
      <c r="H76" s="56">
        <v>737.0</v>
      </c>
      <c r="I76" s="57">
        <f t="shared" si="3"/>
        <v>193</v>
      </c>
      <c r="J76" s="57"/>
      <c r="K76" s="5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55">
        <v>45760.0</v>
      </c>
      <c r="B77" s="56">
        <v>54.0</v>
      </c>
      <c r="C77" s="56">
        <v>0.0</v>
      </c>
      <c r="D77" s="56">
        <v>0.0</v>
      </c>
      <c r="E77" s="56">
        <v>1638.0</v>
      </c>
      <c r="F77" s="56">
        <v>823.0</v>
      </c>
      <c r="G77" s="56">
        <v>992.0</v>
      </c>
      <c r="H77" s="56">
        <v>762.0</v>
      </c>
      <c r="I77" s="57">
        <f t="shared" si="3"/>
        <v>99</v>
      </c>
      <c r="J77" s="57"/>
      <c r="K77" s="5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55">
        <v>45774.0</v>
      </c>
      <c r="B78" s="56">
        <v>54.0</v>
      </c>
      <c r="C78" s="56">
        <v>0.0</v>
      </c>
      <c r="D78" s="56">
        <v>0.0</v>
      </c>
      <c r="E78" s="56">
        <v>1676.0</v>
      </c>
      <c r="F78" s="56">
        <v>838.0</v>
      </c>
      <c r="G78" s="56">
        <v>1033.0</v>
      </c>
      <c r="H78" s="56">
        <v>764.0</v>
      </c>
      <c r="I78" s="57">
        <f t="shared" si="3"/>
        <v>48</v>
      </c>
      <c r="J78" s="57"/>
      <c r="K78" s="5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55">
        <v>45788.0</v>
      </c>
      <c r="B79" s="56">
        <v>54.0</v>
      </c>
      <c r="C79" s="56">
        <v>0.0</v>
      </c>
      <c r="D79" s="56">
        <v>0.0</v>
      </c>
      <c r="E79" s="56">
        <v>1693.0</v>
      </c>
      <c r="F79" s="56">
        <v>842.0</v>
      </c>
      <c r="G79" s="56">
        <v>1051.0</v>
      </c>
      <c r="H79" s="56">
        <v>764.0</v>
      </c>
      <c r="I79" s="57">
        <f t="shared" si="3"/>
        <v>19.5</v>
      </c>
      <c r="J79" s="57"/>
      <c r="K79" s="5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55">
        <v>45802.0</v>
      </c>
      <c r="B80" s="56">
        <v>54.0</v>
      </c>
      <c r="C80" s="56">
        <v>0.0</v>
      </c>
      <c r="D80" s="56">
        <v>0.0</v>
      </c>
      <c r="E80" s="56">
        <v>1701.0</v>
      </c>
      <c r="F80" s="56">
        <v>844.0</v>
      </c>
      <c r="G80" s="56">
        <v>1063.0</v>
      </c>
      <c r="H80" s="56">
        <v>764.0</v>
      </c>
      <c r="I80" s="57">
        <f t="shared" si="3"/>
        <v>11</v>
      </c>
      <c r="J80" s="57"/>
      <c r="K80" s="5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55">
        <v>45816.0</v>
      </c>
      <c r="B81" s="56">
        <v>54.0</v>
      </c>
      <c r="C81" s="56">
        <v>0.0</v>
      </c>
      <c r="D81" s="56">
        <v>0.0</v>
      </c>
      <c r="E81" s="56">
        <v>1703.0</v>
      </c>
      <c r="F81" s="56">
        <v>845.0</v>
      </c>
      <c r="G81" s="56">
        <v>1067.0</v>
      </c>
      <c r="H81" s="56">
        <v>764.0</v>
      </c>
      <c r="I81" s="57">
        <f t="shared" si="3"/>
        <v>3.5</v>
      </c>
      <c r="J81" s="57"/>
      <c r="K81" s="5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55">
        <v>45830.0</v>
      </c>
      <c r="B82" s="56">
        <v>54.0</v>
      </c>
      <c r="C82" s="56">
        <v>0.0</v>
      </c>
      <c r="D82" s="56">
        <v>0.0</v>
      </c>
      <c r="E82" s="56">
        <v>1703.0</v>
      </c>
      <c r="F82" s="56">
        <v>845.0</v>
      </c>
      <c r="G82" s="56">
        <v>1070.0</v>
      </c>
      <c r="H82" s="56">
        <v>764.0</v>
      </c>
      <c r="I82" s="57">
        <f t="shared" si="3"/>
        <v>1.5</v>
      </c>
      <c r="J82" s="57"/>
      <c r="K82" s="5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55">
        <v>45844.0</v>
      </c>
      <c r="B83" s="56">
        <v>54.0</v>
      </c>
      <c r="C83" s="56">
        <v>0.0</v>
      </c>
      <c r="D83" s="56">
        <v>0.0</v>
      </c>
      <c r="E83" s="56">
        <v>1703.0</v>
      </c>
      <c r="F83" s="56">
        <v>845.0</v>
      </c>
      <c r="G83" s="56">
        <v>1070.0</v>
      </c>
      <c r="H83" s="56">
        <v>764.0</v>
      </c>
      <c r="I83" s="57">
        <f t="shared" si="3"/>
        <v>0</v>
      </c>
      <c r="J83" s="57"/>
      <c r="K83" s="5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55">
        <v>45858.0</v>
      </c>
      <c r="B84" s="56">
        <v>54.0</v>
      </c>
      <c r="C84" s="56">
        <v>0.0</v>
      </c>
      <c r="D84" s="56">
        <v>0.0</v>
      </c>
      <c r="E84" s="56">
        <v>1704.0</v>
      </c>
      <c r="F84" s="56">
        <v>846.0</v>
      </c>
      <c r="G84" s="56">
        <v>1071.0</v>
      </c>
      <c r="H84" s="56">
        <v>765.0</v>
      </c>
      <c r="I84" s="57">
        <f t="shared" si="3"/>
        <v>2</v>
      </c>
      <c r="J84" s="57"/>
      <c r="K84" s="5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55">
        <v>45872.0</v>
      </c>
      <c r="B85" s="56">
        <v>54.0</v>
      </c>
      <c r="C85" s="56">
        <v>0.0</v>
      </c>
      <c r="D85" s="56">
        <v>0.0</v>
      </c>
      <c r="E85" s="56">
        <v>1704.0</v>
      </c>
      <c r="F85" s="56">
        <v>846.0</v>
      </c>
      <c r="G85" s="56">
        <v>1071.0</v>
      </c>
      <c r="H85" s="56">
        <v>765.0</v>
      </c>
      <c r="I85" s="57">
        <f t="shared" si="3"/>
        <v>0</v>
      </c>
      <c r="J85" s="57"/>
      <c r="K85" s="5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55">
        <v>45886.0</v>
      </c>
      <c r="B86" s="56">
        <v>54.0</v>
      </c>
      <c r="C86" s="56">
        <v>0.0</v>
      </c>
      <c r="D86" s="56">
        <v>0.0</v>
      </c>
      <c r="E86" s="56">
        <v>1705.0</v>
      </c>
      <c r="F86" s="56">
        <v>846.0</v>
      </c>
      <c r="G86" s="56">
        <v>1072.0</v>
      </c>
      <c r="H86" s="56">
        <v>765.0</v>
      </c>
      <c r="I86" s="57">
        <f t="shared" si="3"/>
        <v>1</v>
      </c>
      <c r="J86" s="57"/>
      <c r="K86" s="5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55">
        <v>45900.0</v>
      </c>
      <c r="B87" s="56">
        <v>54.0</v>
      </c>
      <c r="C87" s="56">
        <v>0.0</v>
      </c>
      <c r="D87" s="56">
        <v>0.0</v>
      </c>
      <c r="E87" s="56">
        <v>1705.0</v>
      </c>
      <c r="F87" s="56">
        <v>846.0</v>
      </c>
      <c r="G87" s="56">
        <v>1073.0</v>
      </c>
      <c r="H87" s="56">
        <v>765.0</v>
      </c>
      <c r="I87" s="57">
        <f t="shared" si="3"/>
        <v>0.5</v>
      </c>
      <c r="J87" s="57"/>
      <c r="K87" s="5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55">
        <v>45914.0</v>
      </c>
      <c r="B88" s="56">
        <v>54.0</v>
      </c>
      <c r="C88" s="56">
        <v>0.0</v>
      </c>
      <c r="D88" s="56">
        <v>0.0</v>
      </c>
      <c r="E88" s="56">
        <v>1705.0</v>
      </c>
      <c r="F88" s="56">
        <v>847.0</v>
      </c>
      <c r="G88" s="56">
        <v>1076.0</v>
      </c>
      <c r="H88" s="56">
        <v>765.0</v>
      </c>
      <c r="I88" s="57">
        <f t="shared" si="3"/>
        <v>2</v>
      </c>
      <c r="J88" s="57"/>
      <c r="K88" s="5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55">
        <v>45928.0</v>
      </c>
      <c r="B89" s="56">
        <v>54.0</v>
      </c>
      <c r="C89" s="56">
        <v>0.0</v>
      </c>
      <c r="D89" s="56">
        <v>0.0</v>
      </c>
      <c r="E89" s="56">
        <v>1716.0</v>
      </c>
      <c r="F89" s="56">
        <v>853.0</v>
      </c>
      <c r="G89" s="56">
        <v>1091.0</v>
      </c>
      <c r="H89" s="56">
        <v>766.0</v>
      </c>
      <c r="I89" s="57">
        <f t="shared" si="3"/>
        <v>16.5</v>
      </c>
      <c r="J89" s="57"/>
      <c r="K89" s="5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55">
        <v>45942.0</v>
      </c>
      <c r="B90" s="56">
        <v>55.0</v>
      </c>
      <c r="C90" s="56">
        <v>0.0</v>
      </c>
      <c r="D90" s="56">
        <v>0.0</v>
      </c>
      <c r="E90" s="56">
        <v>1792.0</v>
      </c>
      <c r="F90" s="56">
        <v>884.0</v>
      </c>
      <c r="G90" s="56">
        <v>1157.0</v>
      </c>
      <c r="H90" s="56">
        <v>782.0</v>
      </c>
      <c r="I90" s="57">
        <f t="shared" si="3"/>
        <v>95</v>
      </c>
      <c r="J90" s="57"/>
      <c r="K90" s="5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55">
        <v>45956.0</v>
      </c>
      <c r="B91" s="56">
        <v>56.0</v>
      </c>
      <c r="C91" s="56">
        <v>0.0</v>
      </c>
      <c r="D91" s="56">
        <v>0.0</v>
      </c>
      <c r="E91" s="56">
        <v>1922.0</v>
      </c>
      <c r="F91" s="56">
        <v>936.0</v>
      </c>
      <c r="G91" s="56">
        <v>1249.0</v>
      </c>
      <c r="H91" s="56">
        <v>811.0</v>
      </c>
      <c r="I91" s="57">
        <f t="shared" si="3"/>
        <v>152</v>
      </c>
      <c r="J91" s="57"/>
      <c r="K91" s="5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55">
        <v>45972.0</v>
      </c>
      <c r="B92" s="56">
        <v>58.0</v>
      </c>
      <c r="C92" s="56">
        <v>0.0</v>
      </c>
      <c r="D92" s="56">
        <v>0.0</v>
      </c>
      <c r="E92" s="56">
        <v>2087.0</v>
      </c>
      <c r="F92" s="56">
        <v>1031.0</v>
      </c>
      <c r="G92" s="56">
        <v>1366.0</v>
      </c>
      <c r="H92" s="56">
        <v>864.0</v>
      </c>
      <c r="I92" s="57">
        <f t="shared" si="3"/>
        <v>216</v>
      </c>
      <c r="J92" s="57"/>
      <c r="K92" s="5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55">
        <v>45984.0</v>
      </c>
      <c r="B93" s="56">
        <v>84.0</v>
      </c>
      <c r="C93" s="56">
        <v>0.0</v>
      </c>
      <c r="D93" s="56">
        <v>0.0</v>
      </c>
      <c r="E93" s="56">
        <v>2264.0</v>
      </c>
      <c r="F93" s="56">
        <v>1134.0</v>
      </c>
      <c r="G93" s="56">
        <v>1493.0</v>
      </c>
      <c r="H93" s="56">
        <v>949.0</v>
      </c>
      <c r="I93" s="57">
        <f t="shared" si="3"/>
        <v>259</v>
      </c>
      <c r="J93" s="57"/>
      <c r="K93" s="5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55">
        <v>45998.0</v>
      </c>
      <c r="B94" s="56">
        <v>84.0</v>
      </c>
      <c r="C94" s="56">
        <v>0.0</v>
      </c>
      <c r="D94" s="56">
        <v>0.0</v>
      </c>
      <c r="E94" s="56">
        <v>2264.0</v>
      </c>
      <c r="F94" s="56">
        <v>1134.0</v>
      </c>
      <c r="G94" s="56">
        <v>1493.0</v>
      </c>
      <c r="H94" s="56">
        <v>949.0</v>
      </c>
      <c r="I94" s="57">
        <f t="shared" si="3"/>
        <v>0</v>
      </c>
      <c r="J94" s="57"/>
      <c r="K94" s="58"/>
      <c r="L94" s="1"/>
      <c r="M94" s="61" t="s">
        <v>63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55">
        <v>46016.0</v>
      </c>
      <c r="B95" s="56">
        <v>125.0</v>
      </c>
      <c r="C95" s="56">
        <v>0.0</v>
      </c>
      <c r="D95" s="56">
        <v>0.0</v>
      </c>
      <c r="E95" s="56">
        <v>2822.0</v>
      </c>
      <c r="F95" s="56">
        <v>1328.0</v>
      </c>
      <c r="G95" s="56">
        <v>1823.0</v>
      </c>
      <c r="H95" s="56">
        <v>1189.0</v>
      </c>
      <c r="I95" s="57">
        <f t="shared" si="3"/>
        <v>681.5</v>
      </c>
      <c r="J95" s="57"/>
      <c r="K95" s="58"/>
      <c r="L95" s="1"/>
      <c r="M95" s="61" t="s">
        <v>64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55">
        <v>45660.0</v>
      </c>
      <c r="B96" s="56">
        <v>153.0</v>
      </c>
      <c r="C96" s="56">
        <v>0.0</v>
      </c>
      <c r="D96" s="56">
        <v>0.0</v>
      </c>
      <c r="E96" s="56">
        <v>2973.0</v>
      </c>
      <c r="F96" s="56">
        <v>1405.0</v>
      </c>
      <c r="G96" s="56">
        <v>1922.0</v>
      </c>
      <c r="H96" s="56">
        <v>1267.0</v>
      </c>
      <c r="I96" s="57">
        <f t="shared" si="3"/>
        <v>216.5</v>
      </c>
      <c r="J96" s="57"/>
      <c r="K96" s="58"/>
      <c r="L96" s="1"/>
      <c r="M96" s="61" t="s">
        <v>65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55">
        <v>46026.0</v>
      </c>
      <c r="B97" s="56">
        <v>10.0</v>
      </c>
      <c r="C97" s="56">
        <v>0.0</v>
      </c>
      <c r="D97" s="56">
        <v>0.0</v>
      </c>
      <c r="E97" s="56">
        <v>98.0</v>
      </c>
      <c r="F97" s="56">
        <v>46.0</v>
      </c>
      <c r="G97" s="56">
        <v>47.0</v>
      </c>
      <c r="H97" s="56">
        <v>41.0</v>
      </c>
      <c r="I97" s="57">
        <f t="shared" si="3"/>
        <v>-3739</v>
      </c>
      <c r="J97" s="57"/>
      <c r="K97" s="5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55">
        <v>46040.0</v>
      </c>
      <c r="B98" s="56">
        <v>45.0</v>
      </c>
      <c r="C98" s="56">
        <v>0.0</v>
      </c>
      <c r="D98" s="56">
        <v>0.0</v>
      </c>
      <c r="E98" s="56">
        <v>406.0</v>
      </c>
      <c r="F98" s="56">
        <v>214.0</v>
      </c>
      <c r="G98" s="56">
        <v>225.0</v>
      </c>
      <c r="H98" s="56">
        <v>198.0</v>
      </c>
      <c r="I98" s="57">
        <f t="shared" si="3"/>
        <v>423</v>
      </c>
      <c r="J98" s="57"/>
      <c r="K98" s="5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55">
        <v>46054.0</v>
      </c>
      <c r="B99" s="56">
        <v>83.0</v>
      </c>
      <c r="C99" s="56">
        <v>0.0</v>
      </c>
      <c r="D99" s="56">
        <v>0.0</v>
      </c>
      <c r="E99" s="56">
        <v>705.0</v>
      </c>
      <c r="F99" s="56">
        <v>372.0</v>
      </c>
      <c r="G99" s="56">
        <v>402.0</v>
      </c>
      <c r="H99" s="56">
        <v>348.0</v>
      </c>
      <c r="I99" s="57">
        <f t="shared" si="3"/>
        <v>411</v>
      </c>
      <c r="J99" s="57"/>
      <c r="K99" s="5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55">
        <v>46068.0</v>
      </c>
      <c r="B100" s="56">
        <v>108.0</v>
      </c>
      <c r="C100" s="56">
        <v>0.0</v>
      </c>
      <c r="D100" s="56">
        <v>0.0</v>
      </c>
      <c r="E100" s="56">
        <v>1006.0</v>
      </c>
      <c r="F100" s="56">
        <v>531.0</v>
      </c>
      <c r="G100" s="56">
        <v>579.0</v>
      </c>
      <c r="H100" s="56">
        <v>503.0</v>
      </c>
      <c r="I100" s="57">
        <f t="shared" si="3"/>
        <v>408.5</v>
      </c>
      <c r="J100" s="57"/>
      <c r="K100" s="5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55">
        <v>46082.0</v>
      </c>
      <c r="B101" s="56">
        <v>121.0</v>
      </c>
      <c r="C101" s="56">
        <v>0.0</v>
      </c>
      <c r="D101" s="56">
        <v>0.0</v>
      </c>
      <c r="E101" s="56">
        <v>1220.0</v>
      </c>
      <c r="F101" s="56">
        <v>634.0</v>
      </c>
      <c r="G101" s="56">
        <v>700.0</v>
      </c>
      <c r="H101" s="56">
        <v>606.0</v>
      </c>
      <c r="I101" s="57">
        <f t="shared" si="3"/>
        <v>277</v>
      </c>
      <c r="J101" s="57"/>
      <c r="K101" s="5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55">
        <v>46096.0</v>
      </c>
      <c r="B102" s="56">
        <v>122.0</v>
      </c>
      <c r="C102" s="56">
        <v>0.0</v>
      </c>
      <c r="D102" s="56">
        <v>0.0</v>
      </c>
      <c r="E102" s="56">
        <v>1330.0</v>
      </c>
      <c r="F102" s="56">
        <v>687.0</v>
      </c>
      <c r="G102" s="56">
        <v>788.0</v>
      </c>
      <c r="H102" s="56">
        <v>641.0</v>
      </c>
      <c r="I102" s="57">
        <f t="shared" si="3"/>
        <v>143.5</v>
      </c>
      <c r="J102" s="57"/>
      <c r="K102" s="5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55">
        <v>46110.0</v>
      </c>
      <c r="B103" s="56">
        <v>125.0</v>
      </c>
      <c r="C103" s="56">
        <v>0.0</v>
      </c>
      <c r="D103" s="56">
        <v>0.0</v>
      </c>
      <c r="E103" s="56">
        <v>1505.0</v>
      </c>
      <c r="F103" s="56">
        <v>772.0</v>
      </c>
      <c r="G103" s="56">
        <v>903.0</v>
      </c>
      <c r="H103" s="56">
        <v>696.0</v>
      </c>
      <c r="I103" s="57">
        <f t="shared" si="3"/>
        <v>216.5</v>
      </c>
      <c r="J103" s="57"/>
      <c r="K103" s="5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55">
        <v>46124.0</v>
      </c>
      <c r="B104" s="56">
        <v>126.0</v>
      </c>
      <c r="C104" s="56">
        <v>0.0</v>
      </c>
      <c r="D104" s="56">
        <v>0.0</v>
      </c>
      <c r="E104" s="56">
        <v>1642.0</v>
      </c>
      <c r="F104" s="56">
        <v>840.0</v>
      </c>
      <c r="G104" s="56">
        <v>993.0</v>
      </c>
      <c r="H104" s="56">
        <v>733.0</v>
      </c>
      <c r="I104" s="57">
        <f t="shared" si="3"/>
        <v>166.5</v>
      </c>
      <c r="J104" s="57"/>
      <c r="K104" s="5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55">
        <v>46138.0</v>
      </c>
      <c r="B105" s="56">
        <v>126.0</v>
      </c>
      <c r="C105" s="56">
        <v>0.0</v>
      </c>
      <c r="D105" s="56">
        <v>0.0</v>
      </c>
      <c r="E105" s="56">
        <v>1714.0</v>
      </c>
      <c r="F105" s="56">
        <v>874.0</v>
      </c>
      <c r="G105" s="56">
        <v>1040.0</v>
      </c>
      <c r="H105" s="56">
        <v>743.0</v>
      </c>
      <c r="I105" s="57">
        <f t="shared" si="3"/>
        <v>81.5</v>
      </c>
      <c r="J105" s="57"/>
      <c r="K105" s="5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55">
        <v>46152.0</v>
      </c>
      <c r="B106" s="56">
        <v>0.0</v>
      </c>
      <c r="C106" s="56">
        <v>0.0</v>
      </c>
      <c r="D106" s="56">
        <v>0.0</v>
      </c>
      <c r="E106" s="56">
        <v>0.0</v>
      </c>
      <c r="F106" s="56">
        <v>0.0</v>
      </c>
      <c r="G106" s="56">
        <v>0.0</v>
      </c>
      <c r="H106" s="56">
        <v>0.0</v>
      </c>
      <c r="I106" s="57">
        <f t="shared" si="3"/>
        <v>-2248.5</v>
      </c>
      <c r="J106" s="57"/>
      <c r="K106" s="5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55">
        <v>46166.0</v>
      </c>
      <c r="B107" s="56">
        <v>0.0</v>
      </c>
      <c r="C107" s="56">
        <v>0.0</v>
      </c>
      <c r="D107" s="56">
        <v>0.0</v>
      </c>
      <c r="E107" s="56">
        <v>0.0</v>
      </c>
      <c r="F107" s="56">
        <v>0.0</v>
      </c>
      <c r="G107" s="56">
        <v>0.0</v>
      </c>
      <c r="H107" s="56">
        <v>0.0</v>
      </c>
      <c r="I107" s="57">
        <f t="shared" si="3"/>
        <v>0</v>
      </c>
      <c r="J107" s="57"/>
      <c r="K107" s="5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55">
        <v>46180.0</v>
      </c>
      <c r="B108" s="56">
        <v>0.0</v>
      </c>
      <c r="C108" s="56">
        <v>0.0</v>
      </c>
      <c r="D108" s="56">
        <v>0.0</v>
      </c>
      <c r="E108" s="56">
        <v>0.0</v>
      </c>
      <c r="F108" s="56">
        <v>0.0</v>
      </c>
      <c r="G108" s="56">
        <v>0.0</v>
      </c>
      <c r="H108" s="56">
        <v>0.0</v>
      </c>
      <c r="I108" s="57">
        <f t="shared" si="3"/>
        <v>0</v>
      </c>
      <c r="J108" s="57"/>
      <c r="K108" s="5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55">
        <v>46194.0</v>
      </c>
      <c r="B109" s="56">
        <v>0.0</v>
      </c>
      <c r="C109" s="56">
        <v>0.0</v>
      </c>
      <c r="D109" s="56">
        <v>0.0</v>
      </c>
      <c r="E109" s="56">
        <v>0.0</v>
      </c>
      <c r="F109" s="56">
        <v>0.0</v>
      </c>
      <c r="G109" s="56">
        <v>0.0</v>
      </c>
      <c r="H109" s="56">
        <v>0.0</v>
      </c>
      <c r="I109" s="57">
        <f t="shared" si="3"/>
        <v>0</v>
      </c>
      <c r="J109" s="57"/>
      <c r="K109" s="5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55">
        <v>46208.0</v>
      </c>
      <c r="B110" s="56">
        <v>0.0</v>
      </c>
      <c r="C110" s="56">
        <v>0.0</v>
      </c>
      <c r="D110" s="56">
        <v>0.0</v>
      </c>
      <c r="E110" s="56">
        <v>0.0</v>
      </c>
      <c r="F110" s="56">
        <v>0.0</v>
      </c>
      <c r="G110" s="56">
        <v>0.0</v>
      </c>
      <c r="H110" s="56">
        <v>0.0</v>
      </c>
      <c r="I110" s="57">
        <f t="shared" si="3"/>
        <v>0</v>
      </c>
      <c r="J110" s="57"/>
      <c r="K110" s="5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6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6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6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6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6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6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6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6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6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6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6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6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6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6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6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6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6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6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6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6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6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6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6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6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6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6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6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6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6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6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6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6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6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6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6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6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6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6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6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6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6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6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6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6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6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6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6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6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6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6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6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6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6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6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6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6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6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6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6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6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6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6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6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6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6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6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6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6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6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6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6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6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6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6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6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6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6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6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6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6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6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6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6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6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6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6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6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6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6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6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6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6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6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6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6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6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6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6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6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6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6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6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6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6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6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6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6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6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6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6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6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6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6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6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6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6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6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6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6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6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6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6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6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6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6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6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6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6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6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6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6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6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6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6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6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6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6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6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6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6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6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6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6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6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6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6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6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6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6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6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6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6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6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6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6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6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6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6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6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6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6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6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6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6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6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6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6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6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6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6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6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6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6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6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6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6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6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6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6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6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6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6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6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6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6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6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6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6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6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6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6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6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6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6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6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6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6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6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6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6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6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6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6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6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6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6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6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6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6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6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6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6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6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6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6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6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6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6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6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6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6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6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6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6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6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6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6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6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6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6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6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6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6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6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6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6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6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6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6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6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6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6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6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6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6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6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6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6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6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6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6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6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6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6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6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6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6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6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6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6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6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6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6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6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6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6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6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6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6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6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6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6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6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6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6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6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6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6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6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6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6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6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6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6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6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6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6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6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6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6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6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6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6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6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6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6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6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6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6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6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6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6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6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6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6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6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6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6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6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6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6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6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6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6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6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6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6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6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6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6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6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6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6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6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6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6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6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6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6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6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6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6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6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6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6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6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6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6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6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6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6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6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6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6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6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6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6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6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6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6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6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6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6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6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6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6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6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6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6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6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6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6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6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6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6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6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6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6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6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6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6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6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6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6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6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6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6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6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6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6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6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6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6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6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6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6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6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6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6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6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6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6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6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6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6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6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6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6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6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6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6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6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6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6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6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6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6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6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6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6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6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6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6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6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6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6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6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6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6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6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6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6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6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6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6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6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6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6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6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6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6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6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6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6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6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6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6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6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6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6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6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6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6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6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6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6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6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6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6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6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6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6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6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6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6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6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6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6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6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6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6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6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6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6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6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6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6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6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6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6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6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6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6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6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6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6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6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6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6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6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6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6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6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6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6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6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6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6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6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6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6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6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6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6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6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6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6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6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6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6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6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6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6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6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6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6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6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6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6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6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6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6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6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6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6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6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6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6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6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6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6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6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6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6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6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6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6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6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6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6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6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6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6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6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6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6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6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6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6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6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6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6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6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6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6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6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6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6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6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6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6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6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6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6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6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6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6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6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6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6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6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6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6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6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6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6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6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6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6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6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6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6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6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6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6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6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6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6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6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6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6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6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6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6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6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6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6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6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6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6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6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6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6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6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6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6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6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6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6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6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6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6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6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6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6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6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6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6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6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6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6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6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6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6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6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6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6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6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6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6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6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6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6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6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6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6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6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6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6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6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6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6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6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6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6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6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6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6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6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6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6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6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6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6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6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6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6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6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6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6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6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6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6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6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6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6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6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6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6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6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6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6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6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6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6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6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6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6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6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6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6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6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6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6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6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6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6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6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6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6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6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6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6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6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6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6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6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6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6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6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6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6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6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6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6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6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6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6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6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6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6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6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6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6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6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6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6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6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6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6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6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6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6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6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6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6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6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6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6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6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6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6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6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6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6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6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6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6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6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6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6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6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6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6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6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6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6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6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6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6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6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6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6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6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6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6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6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6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6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6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6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6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6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6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6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6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6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6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6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6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6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6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6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6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6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6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6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6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6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6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6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6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6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6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6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6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6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6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6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6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6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6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6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6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6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6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6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6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6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6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6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6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6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6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6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6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6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6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6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6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6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6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6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6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6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6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6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6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6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6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6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6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6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6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6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6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6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6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6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6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6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6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6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6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6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6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6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6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6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6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6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6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6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6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6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6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6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6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6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6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6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6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6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6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6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6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6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6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6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6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6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6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6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6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6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6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6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6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6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6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6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6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6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6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6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6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6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6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6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6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6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6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6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6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6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6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6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6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6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6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6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6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6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6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6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6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6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6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6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6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6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6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1.13"/>
    <col customWidth="1" min="3" max="3" width="16.88"/>
    <col customWidth="1" min="4" max="4" width="13.5"/>
    <col customWidth="1" min="5" max="5" width="27.5"/>
    <col customWidth="1" min="6" max="6" width="25.25"/>
    <col customWidth="1" min="7" max="7" width="20.38"/>
    <col customWidth="1" min="8" max="8" width="12.0"/>
    <col customWidth="1" min="9" max="9" width="23.0"/>
    <col customWidth="1" min="10" max="10" width="19.5"/>
    <col customWidth="1" min="11" max="11" width="21.25"/>
  </cols>
  <sheetData>
    <row r="1">
      <c r="A1" s="49" t="s">
        <v>48</v>
      </c>
      <c r="B1" s="50" t="s">
        <v>49</v>
      </c>
      <c r="C1" s="50" t="s">
        <v>50</v>
      </c>
      <c r="D1" s="50" t="s">
        <v>51</v>
      </c>
      <c r="E1" s="50" t="s">
        <v>52</v>
      </c>
      <c r="F1" s="50" t="s">
        <v>53</v>
      </c>
      <c r="G1" s="50" t="s">
        <v>54</v>
      </c>
      <c r="H1" s="50" t="s">
        <v>55</v>
      </c>
      <c r="I1" s="51" t="s">
        <v>56</v>
      </c>
      <c r="J1" s="50" t="s">
        <v>57</v>
      </c>
      <c r="K1" s="50" t="s">
        <v>58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idden="1">
      <c r="A2" s="52">
        <v>44589.0</v>
      </c>
      <c r="B2" s="53">
        <v>1552.0</v>
      </c>
      <c r="C2" s="53">
        <v>0.0</v>
      </c>
      <c r="D2" s="53">
        <v>0.0</v>
      </c>
      <c r="E2" s="53">
        <v>3058.0</v>
      </c>
      <c r="F2" s="53">
        <v>1817.0</v>
      </c>
      <c r="G2" s="53">
        <v>581.0</v>
      </c>
      <c r="H2" s="53">
        <v>2275.0</v>
      </c>
      <c r="I2" s="53" t="s">
        <v>59</v>
      </c>
      <c r="J2" s="53">
        <v>29567.0</v>
      </c>
      <c r="K2" s="53">
        <v>179311.0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idden="1">
      <c r="A3" s="52">
        <v>44753.0</v>
      </c>
      <c r="B3" s="53">
        <v>710.0</v>
      </c>
      <c r="C3" s="53">
        <v>0.0</v>
      </c>
      <c r="D3" s="53">
        <v>0.0</v>
      </c>
      <c r="E3" s="53">
        <v>1129.0</v>
      </c>
      <c r="F3" s="53">
        <v>821.0</v>
      </c>
      <c r="G3" s="53">
        <v>781.0</v>
      </c>
      <c r="H3" s="53">
        <v>1137.0</v>
      </c>
      <c r="I3" s="54">
        <f t="shared" ref="I3:I16" si="1">(SUM(B3:H3)-SUM(B2:H2))/2</f>
        <v>-2352.5</v>
      </c>
      <c r="J3" s="54"/>
      <c r="K3" s="5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idden="1">
      <c r="A4" s="52">
        <v>44766.0</v>
      </c>
      <c r="B4" s="53">
        <v>711.0</v>
      </c>
      <c r="C4" s="53">
        <v>0.0</v>
      </c>
      <c r="D4" s="53">
        <v>0.0</v>
      </c>
      <c r="E4" s="53">
        <v>1129.0</v>
      </c>
      <c r="F4" s="53">
        <v>822.0</v>
      </c>
      <c r="G4" s="53">
        <v>781.0</v>
      </c>
      <c r="H4" s="53">
        <v>1138.0</v>
      </c>
      <c r="I4" s="54">
        <f t="shared" si="1"/>
        <v>1.5</v>
      </c>
      <c r="J4" s="54"/>
      <c r="K4" s="5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idden="1">
      <c r="A5" s="52">
        <v>44780.0</v>
      </c>
      <c r="B5" s="53">
        <v>711.0</v>
      </c>
      <c r="C5" s="53">
        <v>0.0</v>
      </c>
      <c r="D5" s="53">
        <v>0.0</v>
      </c>
      <c r="E5" s="53">
        <v>1129.0</v>
      </c>
      <c r="F5" s="53">
        <v>822.0</v>
      </c>
      <c r="G5" s="53">
        <v>781.0</v>
      </c>
      <c r="H5" s="53">
        <v>1138.0</v>
      </c>
      <c r="I5" s="54">
        <f t="shared" si="1"/>
        <v>0</v>
      </c>
      <c r="J5" s="54"/>
      <c r="K5" s="5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idden="1">
      <c r="A6" s="52">
        <v>44794.0</v>
      </c>
      <c r="B6" s="53">
        <v>711.0</v>
      </c>
      <c r="C6" s="53">
        <v>0.0</v>
      </c>
      <c r="D6" s="53">
        <v>0.0</v>
      </c>
      <c r="E6" s="53">
        <v>1129.0</v>
      </c>
      <c r="F6" s="53">
        <v>822.0</v>
      </c>
      <c r="G6" s="53">
        <v>781.0</v>
      </c>
      <c r="H6" s="53">
        <v>1138.0</v>
      </c>
      <c r="I6" s="54">
        <f t="shared" si="1"/>
        <v>0</v>
      </c>
      <c r="J6" s="54"/>
      <c r="K6" s="5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idden="1">
      <c r="A7" s="52">
        <v>44808.0</v>
      </c>
      <c r="B7" s="53">
        <v>711.0</v>
      </c>
      <c r="C7" s="53">
        <v>0.0</v>
      </c>
      <c r="D7" s="53">
        <v>0.0</v>
      </c>
      <c r="E7" s="53">
        <v>1129.0</v>
      </c>
      <c r="F7" s="53">
        <v>822.0</v>
      </c>
      <c r="G7" s="53">
        <v>781.0</v>
      </c>
      <c r="H7" s="53">
        <v>1138.0</v>
      </c>
      <c r="I7" s="54">
        <f t="shared" si="1"/>
        <v>0</v>
      </c>
      <c r="J7" s="54"/>
      <c r="K7" s="5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idden="1">
      <c r="A8" s="52">
        <v>44822.0</v>
      </c>
      <c r="B8" s="53">
        <v>714.0</v>
      </c>
      <c r="C8" s="53">
        <v>0.0</v>
      </c>
      <c r="D8" s="53">
        <v>0.0</v>
      </c>
      <c r="E8" s="53">
        <v>1129.0</v>
      </c>
      <c r="F8" s="53">
        <v>822.0</v>
      </c>
      <c r="G8" s="53">
        <v>781.0</v>
      </c>
      <c r="H8" s="53">
        <v>1139.0</v>
      </c>
      <c r="I8" s="54">
        <f t="shared" si="1"/>
        <v>2</v>
      </c>
      <c r="J8" s="54"/>
      <c r="K8" s="5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idden="1">
      <c r="A9" s="52">
        <v>44836.0</v>
      </c>
      <c r="B9" s="53">
        <v>714.0</v>
      </c>
      <c r="C9" s="53">
        <v>0.0</v>
      </c>
      <c r="D9" s="53">
        <v>0.0</v>
      </c>
      <c r="E9" s="53">
        <v>1129.0</v>
      </c>
      <c r="F9" s="53">
        <v>822.0</v>
      </c>
      <c r="G9" s="53">
        <v>782.0</v>
      </c>
      <c r="H9" s="53">
        <v>1139.0</v>
      </c>
      <c r="I9" s="54">
        <f t="shared" si="1"/>
        <v>0.5</v>
      </c>
      <c r="J9" s="54"/>
      <c r="K9" s="5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idden="1">
      <c r="A10" s="52">
        <v>44850.0</v>
      </c>
      <c r="B10" s="53">
        <v>714.0</v>
      </c>
      <c r="C10" s="53">
        <v>0.0</v>
      </c>
      <c r="D10" s="53">
        <v>0.0</v>
      </c>
      <c r="E10" s="53">
        <v>1129.0</v>
      </c>
      <c r="F10" s="53">
        <v>822.0</v>
      </c>
      <c r="G10" s="53">
        <v>783.0</v>
      </c>
      <c r="H10" s="53">
        <v>1139.0</v>
      </c>
      <c r="I10" s="54">
        <f t="shared" si="1"/>
        <v>0.5</v>
      </c>
      <c r="J10" s="54"/>
      <c r="K10" s="5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idden="1">
      <c r="A11" s="52">
        <v>44864.0</v>
      </c>
      <c r="B11" s="53">
        <v>715.0</v>
      </c>
      <c r="C11" s="53">
        <v>0.0</v>
      </c>
      <c r="D11" s="53">
        <v>0.0</v>
      </c>
      <c r="E11" s="53">
        <v>1129.0</v>
      </c>
      <c r="F11" s="53">
        <v>822.0</v>
      </c>
      <c r="G11" s="53">
        <v>783.0</v>
      </c>
      <c r="H11" s="53">
        <v>1139.0</v>
      </c>
      <c r="I11" s="54">
        <f t="shared" si="1"/>
        <v>0.5</v>
      </c>
      <c r="J11" s="54"/>
      <c r="K11" s="5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idden="1">
      <c r="A12" s="52">
        <v>44878.0</v>
      </c>
      <c r="B12" s="53">
        <v>722.0</v>
      </c>
      <c r="C12" s="53">
        <v>0.0</v>
      </c>
      <c r="D12" s="53">
        <v>0.0</v>
      </c>
      <c r="E12" s="53">
        <v>1138.0</v>
      </c>
      <c r="F12" s="53">
        <v>824.0</v>
      </c>
      <c r="G12" s="53">
        <v>790.0</v>
      </c>
      <c r="H12" s="53">
        <v>1142.0</v>
      </c>
      <c r="I12" s="54">
        <f t="shared" si="1"/>
        <v>14</v>
      </c>
      <c r="J12" s="54"/>
      <c r="K12" s="5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idden="1">
      <c r="A13" s="52">
        <v>44892.0</v>
      </c>
      <c r="B13" s="53">
        <v>767.0</v>
      </c>
      <c r="C13" s="53">
        <v>0.0</v>
      </c>
      <c r="D13" s="53">
        <v>4.0</v>
      </c>
      <c r="E13" s="53">
        <v>1220.0</v>
      </c>
      <c r="F13" s="53">
        <v>838.0</v>
      </c>
      <c r="G13" s="53">
        <v>870.0</v>
      </c>
      <c r="H13" s="53">
        <v>1200.0</v>
      </c>
      <c r="I13" s="54">
        <f t="shared" si="1"/>
        <v>141.5</v>
      </c>
      <c r="J13" s="54"/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idden="1">
      <c r="A14" s="52">
        <v>44906.0</v>
      </c>
      <c r="B14" s="53">
        <v>840.0</v>
      </c>
      <c r="C14" s="53">
        <v>0.0</v>
      </c>
      <c r="D14" s="53">
        <v>13.0</v>
      </c>
      <c r="E14" s="53">
        <v>1348.0</v>
      </c>
      <c r="F14" s="53">
        <v>860.0</v>
      </c>
      <c r="G14" s="53">
        <v>986.0</v>
      </c>
      <c r="H14" s="53">
        <v>1284.0</v>
      </c>
      <c r="I14" s="54">
        <f t="shared" si="1"/>
        <v>216</v>
      </c>
      <c r="J14" s="54"/>
      <c r="K14" s="5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idden="1">
      <c r="A15" s="52">
        <v>44922.0</v>
      </c>
      <c r="B15" s="53">
        <v>924.0</v>
      </c>
      <c r="C15" s="53">
        <v>0.0</v>
      </c>
      <c r="D15" s="53">
        <v>16.0</v>
      </c>
      <c r="E15" s="53">
        <v>1583.0</v>
      </c>
      <c r="F15" s="53">
        <v>917.0</v>
      </c>
      <c r="G15" s="53">
        <v>1116.0</v>
      </c>
      <c r="H15" s="53">
        <v>1397.0</v>
      </c>
      <c r="I15" s="54">
        <f t="shared" si="1"/>
        <v>311</v>
      </c>
      <c r="J15" s="54"/>
      <c r="K15" s="5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idden="1">
      <c r="A16" s="52">
        <v>44934.0</v>
      </c>
      <c r="B16" s="53">
        <v>943.0</v>
      </c>
      <c r="C16" s="53">
        <v>0.0</v>
      </c>
      <c r="D16" s="53">
        <v>16.0</v>
      </c>
      <c r="E16" s="53">
        <v>1691.0</v>
      </c>
      <c r="F16" s="53">
        <v>941.0</v>
      </c>
      <c r="G16" s="53">
        <v>1148.0</v>
      </c>
      <c r="H16" s="53">
        <v>1465.0</v>
      </c>
      <c r="I16" s="54">
        <f t="shared" si="1"/>
        <v>125.5</v>
      </c>
      <c r="J16" s="54"/>
      <c r="K16" s="5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idden="1">
      <c r="A17" s="52">
        <v>44948.0</v>
      </c>
      <c r="B17" s="53">
        <v>66.0</v>
      </c>
      <c r="C17" s="53">
        <v>0.0</v>
      </c>
      <c r="D17" s="53">
        <v>0.0</v>
      </c>
      <c r="E17" s="53">
        <v>230.0</v>
      </c>
      <c r="F17" s="53">
        <v>54.0</v>
      </c>
      <c r="G17" s="53">
        <v>102.0</v>
      </c>
      <c r="H17" s="53">
        <v>116.0</v>
      </c>
      <c r="I17" s="54">
        <f>(SUM(B17:H17)-0)/2</f>
        <v>284</v>
      </c>
      <c r="J17" s="54"/>
      <c r="K17" s="5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idden="1">
      <c r="A18" s="52">
        <v>44962.0</v>
      </c>
      <c r="B18" s="53">
        <v>117.0</v>
      </c>
      <c r="C18" s="53">
        <v>0.0</v>
      </c>
      <c r="D18" s="53">
        <v>0.0</v>
      </c>
      <c r="E18" s="53">
        <v>435.0</v>
      </c>
      <c r="F18" s="53">
        <v>116.0</v>
      </c>
      <c r="G18" s="53">
        <v>201.0</v>
      </c>
      <c r="H18" s="53">
        <v>239.0</v>
      </c>
      <c r="I18" s="54">
        <f t="shared" ref="I18:I42" si="2">(SUM(B18:H18)-SUM(B17:H17))/2</f>
        <v>270</v>
      </c>
      <c r="J18" s="54"/>
      <c r="K18" s="5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idden="1">
      <c r="A19" s="52">
        <v>44976.0</v>
      </c>
      <c r="B19" s="53">
        <v>161.0</v>
      </c>
      <c r="C19" s="53">
        <v>0.0</v>
      </c>
      <c r="D19" s="53">
        <v>0.0</v>
      </c>
      <c r="E19" s="53">
        <v>577.0</v>
      </c>
      <c r="F19" s="53">
        <v>169.0</v>
      </c>
      <c r="G19" s="53">
        <v>294.0</v>
      </c>
      <c r="H19" s="53">
        <v>318.0</v>
      </c>
      <c r="I19" s="54">
        <f t="shared" si="2"/>
        <v>205.5</v>
      </c>
      <c r="J19" s="54"/>
      <c r="K19" s="5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idden="1">
      <c r="A20" s="52">
        <v>44990.0</v>
      </c>
      <c r="B20" s="53">
        <v>202.0</v>
      </c>
      <c r="C20" s="53">
        <v>0.0</v>
      </c>
      <c r="D20" s="53">
        <v>0.0</v>
      </c>
      <c r="E20" s="53">
        <v>740.0</v>
      </c>
      <c r="F20" s="53">
        <v>227.0</v>
      </c>
      <c r="G20" s="53">
        <v>409.0</v>
      </c>
      <c r="H20" s="53">
        <v>397.0</v>
      </c>
      <c r="I20" s="54">
        <f t="shared" si="2"/>
        <v>228</v>
      </c>
      <c r="J20" s="54"/>
      <c r="K20" s="5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idden="1">
      <c r="A21" s="52">
        <v>45004.0</v>
      </c>
      <c r="B21" s="53">
        <v>234.0</v>
      </c>
      <c r="C21" s="53">
        <v>0.0</v>
      </c>
      <c r="D21" s="53">
        <v>0.0</v>
      </c>
      <c r="E21" s="53">
        <v>950.0</v>
      </c>
      <c r="F21" s="53">
        <v>304.0</v>
      </c>
      <c r="G21" s="53">
        <v>490.0</v>
      </c>
      <c r="H21" s="53">
        <v>507.0</v>
      </c>
      <c r="I21" s="54">
        <f t="shared" si="2"/>
        <v>255</v>
      </c>
      <c r="J21" s="54"/>
      <c r="K21" s="5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idden="1">
      <c r="A22" s="55">
        <v>45018.0</v>
      </c>
      <c r="B22" s="56">
        <v>247.0</v>
      </c>
      <c r="C22" s="56">
        <v>0.0</v>
      </c>
      <c r="D22" s="56">
        <v>0.0</v>
      </c>
      <c r="E22" s="56">
        <v>1111.0</v>
      </c>
      <c r="F22" s="56">
        <v>371.0</v>
      </c>
      <c r="G22" s="56">
        <v>533.0</v>
      </c>
      <c r="H22" s="56">
        <v>588.0</v>
      </c>
      <c r="I22" s="57">
        <f t="shared" si="2"/>
        <v>182.5</v>
      </c>
      <c r="J22" s="57"/>
      <c r="K22" s="5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idden="1">
      <c r="A23" s="55">
        <v>45032.0</v>
      </c>
      <c r="B23" s="56">
        <v>252.0</v>
      </c>
      <c r="C23" s="56">
        <v>0.0</v>
      </c>
      <c r="D23" s="56">
        <v>0.0</v>
      </c>
      <c r="E23" s="56">
        <v>1207.0</v>
      </c>
      <c r="F23" s="56">
        <v>410.0</v>
      </c>
      <c r="G23" s="56">
        <v>574.0</v>
      </c>
      <c r="H23" s="56">
        <v>649.0</v>
      </c>
      <c r="I23" s="57">
        <f t="shared" si="2"/>
        <v>121</v>
      </c>
      <c r="J23" s="57"/>
      <c r="K23" s="5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idden="1">
      <c r="A24" s="55">
        <v>45046.0</v>
      </c>
      <c r="B24" s="56">
        <v>256.0</v>
      </c>
      <c r="C24" s="56">
        <v>0.0</v>
      </c>
      <c r="D24" s="56">
        <v>0.0</v>
      </c>
      <c r="E24" s="56">
        <v>1289.0</v>
      </c>
      <c r="F24" s="56">
        <v>434.0</v>
      </c>
      <c r="G24" s="56">
        <v>604.0</v>
      </c>
      <c r="H24" s="56">
        <v>698.0</v>
      </c>
      <c r="I24" s="57">
        <f t="shared" si="2"/>
        <v>94.5</v>
      </c>
      <c r="J24" s="57"/>
      <c r="K24" s="5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idden="1">
      <c r="A25" s="55">
        <v>45060.0</v>
      </c>
      <c r="B25" s="56">
        <v>256.0</v>
      </c>
      <c r="C25" s="56">
        <v>0.0</v>
      </c>
      <c r="D25" s="56">
        <v>0.0</v>
      </c>
      <c r="E25" s="56">
        <v>1297.0</v>
      </c>
      <c r="F25" s="56">
        <v>436.0</v>
      </c>
      <c r="G25" s="56">
        <v>609.0</v>
      </c>
      <c r="H25" s="56">
        <v>706.0</v>
      </c>
      <c r="I25" s="57">
        <f t="shared" si="2"/>
        <v>11.5</v>
      </c>
      <c r="J25" s="57"/>
      <c r="K25" s="5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idden="1">
      <c r="A26" s="55">
        <v>45074.0</v>
      </c>
      <c r="B26" s="56">
        <v>256.0</v>
      </c>
      <c r="C26" s="56">
        <v>0.0</v>
      </c>
      <c r="D26" s="56">
        <v>0.0</v>
      </c>
      <c r="E26" s="56">
        <v>1305.0</v>
      </c>
      <c r="F26" s="56">
        <v>438.0</v>
      </c>
      <c r="G26" s="56">
        <v>611.0</v>
      </c>
      <c r="H26" s="56">
        <v>710.0</v>
      </c>
      <c r="I26" s="57">
        <f t="shared" si="2"/>
        <v>8</v>
      </c>
      <c r="J26" s="57"/>
      <c r="K26" s="5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idden="1">
      <c r="A27" s="55">
        <v>45088.0</v>
      </c>
      <c r="B27" s="56">
        <v>256.0</v>
      </c>
      <c r="C27" s="56">
        <v>0.0</v>
      </c>
      <c r="D27" s="56">
        <v>0.0</v>
      </c>
      <c r="E27" s="56">
        <v>1305.0</v>
      </c>
      <c r="F27" s="56">
        <v>438.0</v>
      </c>
      <c r="G27" s="56">
        <v>611.0</v>
      </c>
      <c r="H27" s="56">
        <v>710.0</v>
      </c>
      <c r="I27" s="57">
        <f t="shared" si="2"/>
        <v>0</v>
      </c>
      <c r="J27" s="57"/>
      <c r="K27" s="5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idden="1">
      <c r="A28" s="55">
        <v>45102.0</v>
      </c>
      <c r="B28" s="56">
        <v>256.0</v>
      </c>
      <c r="C28" s="56">
        <v>0.0</v>
      </c>
      <c r="D28" s="56">
        <v>0.0</v>
      </c>
      <c r="E28" s="56">
        <v>1305.0</v>
      </c>
      <c r="F28" s="56">
        <v>438.0</v>
      </c>
      <c r="G28" s="56">
        <v>611.0</v>
      </c>
      <c r="H28" s="56">
        <v>710.0</v>
      </c>
      <c r="I28" s="57">
        <f t="shared" si="2"/>
        <v>0</v>
      </c>
      <c r="J28" s="57"/>
      <c r="K28" s="5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idden="1">
      <c r="A29" s="55">
        <v>45116.0</v>
      </c>
      <c r="B29" s="56">
        <v>256.0</v>
      </c>
      <c r="C29" s="56">
        <v>0.0</v>
      </c>
      <c r="D29" s="56">
        <v>0.0</v>
      </c>
      <c r="E29" s="56">
        <v>1305.0</v>
      </c>
      <c r="F29" s="56">
        <v>438.0</v>
      </c>
      <c r="G29" s="56">
        <v>611.0</v>
      </c>
      <c r="H29" s="56">
        <v>710.0</v>
      </c>
      <c r="I29" s="57">
        <f t="shared" si="2"/>
        <v>0</v>
      </c>
      <c r="J29" s="57"/>
      <c r="K29" s="5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idden="1">
      <c r="A30" s="55">
        <v>45130.0</v>
      </c>
      <c r="B30" s="56">
        <v>256.0</v>
      </c>
      <c r="C30" s="56">
        <v>0.0</v>
      </c>
      <c r="D30" s="56">
        <v>0.0</v>
      </c>
      <c r="E30" s="56">
        <v>1307.0</v>
      </c>
      <c r="F30" s="56">
        <v>438.0</v>
      </c>
      <c r="G30" s="56">
        <v>611.0</v>
      </c>
      <c r="H30" s="56">
        <v>710.0</v>
      </c>
      <c r="I30" s="57">
        <f t="shared" si="2"/>
        <v>1</v>
      </c>
      <c r="J30" s="57"/>
      <c r="K30" s="5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idden="1">
      <c r="A31" s="55">
        <v>45144.0</v>
      </c>
      <c r="B31" s="56">
        <v>256.0</v>
      </c>
      <c r="C31" s="56">
        <v>0.0</v>
      </c>
      <c r="D31" s="56">
        <v>0.0</v>
      </c>
      <c r="E31" s="56">
        <v>1307.0</v>
      </c>
      <c r="F31" s="56">
        <v>439.0</v>
      </c>
      <c r="G31" s="56">
        <v>611.0</v>
      </c>
      <c r="H31" s="56">
        <v>710.0</v>
      </c>
      <c r="I31" s="57">
        <f t="shared" si="2"/>
        <v>0.5</v>
      </c>
      <c r="J31" s="57"/>
      <c r="K31" s="5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idden="1">
      <c r="A32" s="55">
        <v>45158.0</v>
      </c>
      <c r="B32" s="56">
        <v>256.0</v>
      </c>
      <c r="C32" s="56">
        <v>0.0</v>
      </c>
      <c r="D32" s="56">
        <v>0.0</v>
      </c>
      <c r="E32" s="56">
        <v>1307.0</v>
      </c>
      <c r="F32" s="56">
        <v>452.0</v>
      </c>
      <c r="G32" s="56">
        <v>611.0</v>
      </c>
      <c r="H32" s="56">
        <v>710.0</v>
      </c>
      <c r="I32" s="57">
        <f t="shared" si="2"/>
        <v>6.5</v>
      </c>
      <c r="J32" s="57"/>
      <c r="K32" s="5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idden="1">
      <c r="A33" s="55">
        <v>45172.0</v>
      </c>
      <c r="B33" s="56">
        <v>256.0</v>
      </c>
      <c r="C33" s="56">
        <v>0.0</v>
      </c>
      <c r="D33" s="56">
        <v>0.0</v>
      </c>
      <c r="E33" s="56">
        <v>1307.0</v>
      </c>
      <c r="F33" s="56">
        <v>452.0</v>
      </c>
      <c r="G33" s="56">
        <v>611.0</v>
      </c>
      <c r="H33" s="56">
        <v>710.0</v>
      </c>
      <c r="I33" s="57">
        <f t="shared" si="2"/>
        <v>0</v>
      </c>
      <c r="J33" s="57"/>
      <c r="K33" s="5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idden="1">
      <c r="A34" s="55">
        <v>45186.0</v>
      </c>
      <c r="B34" s="56">
        <v>256.0</v>
      </c>
      <c r="C34" s="56">
        <v>0.0</v>
      </c>
      <c r="D34" s="56">
        <v>0.0</v>
      </c>
      <c r="E34" s="56">
        <v>1307.0</v>
      </c>
      <c r="F34" s="56">
        <v>452.0</v>
      </c>
      <c r="G34" s="56">
        <v>611.0</v>
      </c>
      <c r="H34" s="56">
        <v>710.0</v>
      </c>
      <c r="I34" s="57">
        <f t="shared" si="2"/>
        <v>0</v>
      </c>
      <c r="J34" s="57"/>
      <c r="K34" s="5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idden="1">
      <c r="A35" s="55">
        <v>45200.0</v>
      </c>
      <c r="B35" s="56">
        <v>256.0</v>
      </c>
      <c r="C35" s="56">
        <v>0.0</v>
      </c>
      <c r="D35" s="56">
        <v>0.0</v>
      </c>
      <c r="E35" s="56">
        <v>1308.0</v>
      </c>
      <c r="F35" s="56">
        <v>452.0</v>
      </c>
      <c r="G35" s="56">
        <v>611.0</v>
      </c>
      <c r="H35" s="56">
        <v>710.0</v>
      </c>
      <c r="I35" s="57">
        <f t="shared" si="2"/>
        <v>0.5</v>
      </c>
      <c r="J35" s="57"/>
      <c r="K35" s="5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idden="1">
      <c r="A36" s="55">
        <v>45214.0</v>
      </c>
      <c r="B36" s="56">
        <v>256.0</v>
      </c>
      <c r="C36" s="56">
        <v>0.0</v>
      </c>
      <c r="D36" s="56">
        <v>0.0</v>
      </c>
      <c r="E36" s="56">
        <v>1309.0</v>
      </c>
      <c r="F36" s="56">
        <v>452.0</v>
      </c>
      <c r="G36" s="56">
        <v>611.0</v>
      </c>
      <c r="H36" s="56">
        <v>711.0</v>
      </c>
      <c r="I36" s="57">
        <f t="shared" si="2"/>
        <v>1</v>
      </c>
      <c r="J36" s="57"/>
      <c r="K36" s="5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idden="1">
      <c r="A37" s="55">
        <v>45228.0</v>
      </c>
      <c r="B37" s="56">
        <v>262.0</v>
      </c>
      <c r="C37" s="56">
        <v>0.0</v>
      </c>
      <c r="D37" s="56">
        <v>0.0</v>
      </c>
      <c r="E37" s="56">
        <v>1387.0</v>
      </c>
      <c r="F37" s="56">
        <v>475.0</v>
      </c>
      <c r="G37" s="56">
        <v>648.0</v>
      </c>
      <c r="H37" s="56">
        <v>743.0</v>
      </c>
      <c r="I37" s="57">
        <f t="shared" si="2"/>
        <v>88</v>
      </c>
      <c r="J37" s="57"/>
      <c r="K37" s="5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idden="1">
      <c r="A38" s="55">
        <v>45238.0</v>
      </c>
      <c r="B38" s="56">
        <v>268.0</v>
      </c>
      <c r="C38" s="56">
        <v>0.0</v>
      </c>
      <c r="D38" s="56">
        <v>0.0</v>
      </c>
      <c r="E38" s="56">
        <v>1467.0</v>
      </c>
      <c r="F38" s="56">
        <v>500.0</v>
      </c>
      <c r="G38" s="56">
        <v>677.0</v>
      </c>
      <c r="H38" s="56">
        <v>779.0</v>
      </c>
      <c r="I38" s="57">
        <f t="shared" si="2"/>
        <v>88</v>
      </c>
      <c r="J38" s="57"/>
      <c r="K38" s="5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idden="1">
      <c r="A39" s="55">
        <v>45256.0</v>
      </c>
      <c r="B39" s="56">
        <v>307.0</v>
      </c>
      <c r="C39" s="56">
        <v>0.0</v>
      </c>
      <c r="D39" s="56">
        <v>0.0</v>
      </c>
      <c r="E39" s="56">
        <v>1605.0</v>
      </c>
      <c r="F39" s="56">
        <v>554.0</v>
      </c>
      <c r="G39" s="56">
        <v>817.0</v>
      </c>
      <c r="H39" s="56">
        <v>867.0</v>
      </c>
      <c r="I39" s="57">
        <f t="shared" si="2"/>
        <v>229.5</v>
      </c>
      <c r="J39" s="57"/>
      <c r="K39" s="5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idden="1">
      <c r="A40" s="55">
        <v>45270.0</v>
      </c>
      <c r="B40" s="56">
        <v>351.0</v>
      </c>
      <c r="C40" s="56">
        <v>0.0</v>
      </c>
      <c r="D40" s="56">
        <v>0.0</v>
      </c>
      <c r="E40" s="56">
        <v>1870.0</v>
      </c>
      <c r="F40" s="56">
        <v>673.0</v>
      </c>
      <c r="G40" s="56">
        <v>921.0</v>
      </c>
      <c r="H40" s="56">
        <v>980.0</v>
      </c>
      <c r="I40" s="57">
        <f t="shared" si="2"/>
        <v>322.5</v>
      </c>
      <c r="J40" s="57"/>
      <c r="K40" s="5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idden="1">
      <c r="A41" s="55">
        <v>45284.0</v>
      </c>
      <c r="B41" s="56">
        <v>380.0</v>
      </c>
      <c r="C41" s="56">
        <v>0.0</v>
      </c>
      <c r="D41" s="56">
        <v>0.0</v>
      </c>
      <c r="E41" s="56">
        <v>2072.0</v>
      </c>
      <c r="F41" s="56">
        <v>753.0</v>
      </c>
      <c r="G41" s="56">
        <v>1013.0</v>
      </c>
      <c r="H41" s="56">
        <v>1047.0</v>
      </c>
      <c r="I41" s="57">
        <f t="shared" si="2"/>
        <v>235</v>
      </c>
      <c r="J41" s="57"/>
      <c r="K41" s="5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idden="1">
      <c r="A42" s="55">
        <v>45298.0</v>
      </c>
      <c r="B42" s="59">
        <v>404.0</v>
      </c>
      <c r="C42" s="59">
        <v>0.0</v>
      </c>
      <c r="D42" s="59">
        <v>0.0</v>
      </c>
      <c r="E42" s="59">
        <v>2273.0</v>
      </c>
      <c r="F42" s="59">
        <v>832.0</v>
      </c>
      <c r="G42" s="59">
        <v>1126.0</v>
      </c>
      <c r="H42" s="59">
        <v>1090.0</v>
      </c>
      <c r="I42" s="60">
        <f t="shared" si="2"/>
        <v>230</v>
      </c>
      <c r="J42" s="57"/>
      <c r="K42" s="58"/>
      <c r="L42" s="61" t="s">
        <v>60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idden="1">
      <c r="A43" s="55">
        <v>45298.0</v>
      </c>
      <c r="B43" s="59">
        <v>0.0</v>
      </c>
      <c r="C43" s="59">
        <v>0.0</v>
      </c>
      <c r="D43" s="59">
        <v>0.0</v>
      </c>
      <c r="E43" s="59">
        <v>0.0</v>
      </c>
      <c r="F43" s="59">
        <v>0.0</v>
      </c>
      <c r="G43" s="59">
        <v>0.0</v>
      </c>
      <c r="H43" s="59">
        <v>0.0</v>
      </c>
      <c r="I43" s="59">
        <v>0.0</v>
      </c>
      <c r="J43" s="57"/>
      <c r="K43" s="5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idden="1">
      <c r="A44" s="55">
        <v>45312.0</v>
      </c>
      <c r="B44" s="56">
        <v>92.0</v>
      </c>
      <c r="C44" s="56">
        <v>0.0</v>
      </c>
      <c r="D44" s="56">
        <v>0.0</v>
      </c>
      <c r="E44" s="56">
        <v>448.0</v>
      </c>
      <c r="F44" s="56">
        <v>191.0</v>
      </c>
      <c r="G44" s="56">
        <v>237.0</v>
      </c>
      <c r="H44" s="56">
        <v>152.0</v>
      </c>
      <c r="I44" s="57">
        <f t="shared" ref="I44:I96" si="3">(SUM(B44:H44)-SUM(B43:H43))/2</f>
        <v>560</v>
      </c>
      <c r="J44" s="57"/>
      <c r="K44" s="5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idden="1">
      <c r="A45" s="55">
        <v>45326.0</v>
      </c>
      <c r="B45" s="56">
        <v>119.0</v>
      </c>
      <c r="C45" s="56">
        <v>0.0</v>
      </c>
      <c r="D45" s="56">
        <v>0.0</v>
      </c>
      <c r="E45" s="56">
        <v>694.0</v>
      </c>
      <c r="F45" s="56">
        <v>291.0</v>
      </c>
      <c r="G45" s="56">
        <v>334.0</v>
      </c>
      <c r="H45" s="56">
        <v>257.0</v>
      </c>
      <c r="I45" s="57">
        <f t="shared" si="3"/>
        <v>287.5</v>
      </c>
      <c r="J45" s="57"/>
      <c r="K45" s="5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idden="1">
      <c r="A46" s="55">
        <v>45340.0</v>
      </c>
      <c r="B46" s="56">
        <v>133.0</v>
      </c>
      <c r="C46" s="56">
        <v>0.0</v>
      </c>
      <c r="D46" s="56">
        <v>0.0</v>
      </c>
      <c r="E46" s="56">
        <v>885.0</v>
      </c>
      <c r="F46" s="56">
        <v>394.0</v>
      </c>
      <c r="G46" s="56">
        <v>433.0</v>
      </c>
      <c r="H46" s="56">
        <v>367.0</v>
      </c>
      <c r="I46" s="57">
        <f t="shared" si="3"/>
        <v>258.5</v>
      </c>
      <c r="J46" s="57"/>
      <c r="K46" s="5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idden="1">
      <c r="A47" s="55">
        <v>45354.0</v>
      </c>
      <c r="B47" s="56">
        <v>140.0</v>
      </c>
      <c r="C47" s="56">
        <v>0.0</v>
      </c>
      <c r="D47" s="56">
        <v>0.0</v>
      </c>
      <c r="E47" s="56">
        <v>1115.0</v>
      </c>
      <c r="F47" s="56">
        <v>514.0</v>
      </c>
      <c r="G47" s="56">
        <v>553.0</v>
      </c>
      <c r="H47" s="56">
        <v>490.0</v>
      </c>
      <c r="I47" s="57">
        <f t="shared" si="3"/>
        <v>300</v>
      </c>
      <c r="J47" s="57"/>
      <c r="K47" s="5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idden="1">
      <c r="A48" s="55">
        <v>45369.0</v>
      </c>
      <c r="B48" s="56">
        <v>144.0</v>
      </c>
      <c r="C48" s="56">
        <v>0.0</v>
      </c>
      <c r="D48" s="56">
        <v>0.0</v>
      </c>
      <c r="E48" s="56">
        <v>1315.0</v>
      </c>
      <c r="F48" s="56">
        <v>625.0</v>
      </c>
      <c r="G48" s="56">
        <v>662.0</v>
      </c>
      <c r="H48" s="56">
        <v>606.0</v>
      </c>
      <c r="I48" s="57">
        <f t="shared" si="3"/>
        <v>270</v>
      </c>
      <c r="J48" s="57"/>
      <c r="K48" s="5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idden="1">
      <c r="A49" s="55">
        <v>45382.0</v>
      </c>
      <c r="B49" s="56">
        <v>145.0</v>
      </c>
      <c r="C49" s="56">
        <v>0.0</v>
      </c>
      <c r="D49" s="56">
        <v>0.0</v>
      </c>
      <c r="E49" s="56">
        <v>1470.0</v>
      </c>
      <c r="F49" s="56">
        <v>710.0</v>
      </c>
      <c r="G49" s="56">
        <v>745.0</v>
      </c>
      <c r="H49" s="56">
        <v>675.0</v>
      </c>
      <c r="I49" s="57">
        <f t="shared" si="3"/>
        <v>196.5</v>
      </c>
      <c r="J49" s="57"/>
      <c r="K49" s="5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idden="1">
      <c r="A50" s="55">
        <v>45396.0</v>
      </c>
      <c r="B50" s="56">
        <v>145.0</v>
      </c>
      <c r="C50" s="56">
        <v>0.0</v>
      </c>
      <c r="D50" s="56">
        <v>0.0</v>
      </c>
      <c r="E50" s="56">
        <v>1554.0</v>
      </c>
      <c r="F50" s="56">
        <v>748.0</v>
      </c>
      <c r="G50" s="56">
        <v>778.0</v>
      </c>
      <c r="H50" s="56">
        <v>705.0</v>
      </c>
      <c r="I50" s="57">
        <f t="shared" si="3"/>
        <v>92.5</v>
      </c>
      <c r="J50" s="57"/>
      <c r="K50" s="5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idden="1">
      <c r="A51" s="55">
        <v>45410.0</v>
      </c>
      <c r="B51" s="56">
        <v>146.0</v>
      </c>
      <c r="C51" s="56">
        <v>0.0</v>
      </c>
      <c r="D51" s="56">
        <v>0.0</v>
      </c>
      <c r="E51" s="56">
        <v>1726.0</v>
      </c>
      <c r="F51" s="56">
        <v>838.0</v>
      </c>
      <c r="G51" s="56">
        <v>853.0</v>
      </c>
      <c r="H51" s="56">
        <v>774.0</v>
      </c>
      <c r="I51" s="57">
        <f t="shared" si="3"/>
        <v>203.5</v>
      </c>
      <c r="J51" s="57"/>
      <c r="K51" s="5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idden="1">
      <c r="A52" s="55">
        <v>45424.0</v>
      </c>
      <c r="B52" s="56">
        <v>146.0</v>
      </c>
      <c r="C52" s="56">
        <v>0.0</v>
      </c>
      <c r="D52" s="56">
        <v>0.0</v>
      </c>
      <c r="E52" s="56">
        <v>1736.0</v>
      </c>
      <c r="F52" s="56">
        <v>844.0</v>
      </c>
      <c r="G52" s="56">
        <v>855.0</v>
      </c>
      <c r="H52" s="56">
        <v>775.0</v>
      </c>
      <c r="I52" s="57">
        <f t="shared" si="3"/>
        <v>9.5</v>
      </c>
      <c r="J52" s="57"/>
      <c r="K52" s="5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idden="1">
      <c r="A53" s="55">
        <v>45438.0</v>
      </c>
      <c r="B53" s="56">
        <v>146.0</v>
      </c>
      <c r="C53" s="56">
        <v>0.0</v>
      </c>
      <c r="D53" s="56">
        <v>0.0</v>
      </c>
      <c r="E53" s="56">
        <v>1736.0</v>
      </c>
      <c r="F53" s="56">
        <v>844.0</v>
      </c>
      <c r="G53" s="56">
        <v>855.0</v>
      </c>
      <c r="H53" s="56">
        <v>775.0</v>
      </c>
      <c r="I53" s="57">
        <f t="shared" si="3"/>
        <v>0</v>
      </c>
      <c r="J53" s="57"/>
      <c r="K53" s="5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idden="1">
      <c r="A54" s="55">
        <v>45452.0</v>
      </c>
      <c r="B54" s="56">
        <v>0.0</v>
      </c>
      <c r="C54" s="56">
        <v>0.0</v>
      </c>
      <c r="D54" s="56">
        <v>0.0</v>
      </c>
      <c r="E54" s="56">
        <v>2.0</v>
      </c>
      <c r="F54" s="56">
        <v>1.0</v>
      </c>
      <c r="G54" s="56">
        <v>0.0</v>
      </c>
      <c r="H54" s="56">
        <v>0.0</v>
      </c>
      <c r="I54" s="57">
        <f t="shared" si="3"/>
        <v>-2176.5</v>
      </c>
      <c r="J54" s="57"/>
      <c r="K54" s="58"/>
      <c r="L54" s="61" t="s">
        <v>61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idden="1">
      <c r="A55" s="55">
        <v>45466.0</v>
      </c>
      <c r="B55" s="56">
        <v>0.0</v>
      </c>
      <c r="C55" s="56">
        <v>0.0</v>
      </c>
      <c r="D55" s="56">
        <v>0.0</v>
      </c>
      <c r="E55" s="56">
        <v>7.0</v>
      </c>
      <c r="F55" s="56">
        <v>4.0</v>
      </c>
      <c r="G55" s="56">
        <v>0.0</v>
      </c>
      <c r="H55" s="56">
        <v>0.0</v>
      </c>
      <c r="I55" s="57">
        <f t="shared" si="3"/>
        <v>4</v>
      </c>
      <c r="J55" s="57"/>
      <c r="K55" s="5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idden="1">
      <c r="A56" s="55">
        <v>45480.0</v>
      </c>
      <c r="B56" s="56">
        <v>0.0</v>
      </c>
      <c r="C56" s="56">
        <v>0.0</v>
      </c>
      <c r="D56" s="56">
        <v>0.0</v>
      </c>
      <c r="E56" s="56">
        <v>10.0</v>
      </c>
      <c r="F56" s="56">
        <v>4.0</v>
      </c>
      <c r="G56" s="56">
        <v>0.0</v>
      </c>
      <c r="H56" s="56">
        <v>0.0</v>
      </c>
      <c r="I56" s="57">
        <f t="shared" si="3"/>
        <v>1.5</v>
      </c>
      <c r="J56" s="57"/>
      <c r="K56" s="5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idden="1">
      <c r="A57" s="55">
        <v>45494.0</v>
      </c>
      <c r="B57" s="56">
        <v>0.0</v>
      </c>
      <c r="C57" s="56">
        <v>0.0</v>
      </c>
      <c r="D57" s="56">
        <v>0.0</v>
      </c>
      <c r="E57" s="56">
        <v>10.0</v>
      </c>
      <c r="F57" s="56">
        <v>4.0</v>
      </c>
      <c r="G57" s="56">
        <v>0.0</v>
      </c>
      <c r="H57" s="56">
        <v>0.0</v>
      </c>
      <c r="I57" s="57">
        <f t="shared" si="3"/>
        <v>0</v>
      </c>
      <c r="J57" s="57"/>
      <c r="K57" s="5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idden="1">
      <c r="A58" s="55">
        <v>45508.0</v>
      </c>
      <c r="B58" s="56">
        <v>0.0</v>
      </c>
      <c r="C58" s="56">
        <v>0.0</v>
      </c>
      <c r="D58" s="56">
        <v>0.0</v>
      </c>
      <c r="E58" s="56">
        <v>10.0</v>
      </c>
      <c r="F58" s="56">
        <v>4.0</v>
      </c>
      <c r="G58" s="56">
        <v>0.0</v>
      </c>
      <c r="H58" s="56">
        <v>0.0</v>
      </c>
      <c r="I58" s="57">
        <f t="shared" si="3"/>
        <v>0</v>
      </c>
      <c r="J58" s="57"/>
      <c r="K58" s="5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idden="1">
      <c r="A59" s="55">
        <v>45522.0</v>
      </c>
      <c r="B59" s="56">
        <v>0.0</v>
      </c>
      <c r="C59" s="56">
        <v>0.0</v>
      </c>
      <c r="D59" s="56">
        <v>0.0</v>
      </c>
      <c r="E59" s="56">
        <v>10.0</v>
      </c>
      <c r="F59" s="56">
        <v>4.0</v>
      </c>
      <c r="G59" s="56">
        <v>0.0</v>
      </c>
      <c r="H59" s="56">
        <v>0.0</v>
      </c>
      <c r="I59" s="57">
        <f t="shared" si="3"/>
        <v>0</v>
      </c>
      <c r="J59" s="57"/>
      <c r="K59" s="5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idden="1">
      <c r="A60" s="55">
        <v>45536.0</v>
      </c>
      <c r="B60" s="56">
        <v>0.0</v>
      </c>
      <c r="C60" s="56">
        <v>0.0</v>
      </c>
      <c r="D60" s="56">
        <v>0.0</v>
      </c>
      <c r="E60" s="56">
        <v>10.0</v>
      </c>
      <c r="F60" s="56">
        <v>4.0</v>
      </c>
      <c r="G60" s="56">
        <v>0.0</v>
      </c>
      <c r="H60" s="56">
        <v>0.0</v>
      </c>
      <c r="I60" s="57">
        <f t="shared" si="3"/>
        <v>0</v>
      </c>
      <c r="J60" s="57"/>
      <c r="K60" s="5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idden="1">
      <c r="A61" s="55">
        <v>45550.0</v>
      </c>
      <c r="B61" s="56">
        <v>0.0</v>
      </c>
      <c r="C61" s="56">
        <v>0.0</v>
      </c>
      <c r="D61" s="56">
        <v>0.0</v>
      </c>
      <c r="E61" s="56">
        <v>24.0</v>
      </c>
      <c r="F61" s="56">
        <v>11.0</v>
      </c>
      <c r="G61" s="56">
        <v>6.0</v>
      </c>
      <c r="H61" s="56">
        <v>1.0</v>
      </c>
      <c r="I61" s="57">
        <f t="shared" si="3"/>
        <v>14</v>
      </c>
      <c r="J61" s="57"/>
      <c r="K61" s="5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idden="1">
      <c r="A62" s="55">
        <v>45564.0</v>
      </c>
      <c r="B62" s="56">
        <v>0.0</v>
      </c>
      <c r="C62" s="56">
        <v>0.0</v>
      </c>
      <c r="D62" s="56">
        <v>0.0</v>
      </c>
      <c r="E62" s="56">
        <v>38.0</v>
      </c>
      <c r="F62" s="56">
        <v>21.0</v>
      </c>
      <c r="G62" s="56">
        <v>12.0</v>
      </c>
      <c r="H62" s="56">
        <v>3.0</v>
      </c>
      <c r="I62" s="57">
        <f t="shared" si="3"/>
        <v>16</v>
      </c>
      <c r="J62" s="57"/>
      <c r="K62" s="5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idden="1">
      <c r="A63" s="55">
        <v>45578.0</v>
      </c>
      <c r="B63" s="56">
        <v>0.0</v>
      </c>
      <c r="C63" s="56">
        <v>0.0</v>
      </c>
      <c r="D63" s="56">
        <v>0.0</v>
      </c>
      <c r="E63" s="56">
        <v>128.0</v>
      </c>
      <c r="F63" s="56">
        <v>63.0</v>
      </c>
      <c r="G63" s="56">
        <v>69.0</v>
      </c>
      <c r="H63" s="56">
        <v>24.0</v>
      </c>
      <c r="I63" s="57">
        <f t="shared" si="3"/>
        <v>105</v>
      </c>
      <c r="J63" s="57"/>
      <c r="K63" s="5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idden="1">
      <c r="A64" s="55">
        <v>45592.0</v>
      </c>
      <c r="B64" s="56">
        <v>1.0</v>
      </c>
      <c r="C64" s="56">
        <v>0.0</v>
      </c>
      <c r="D64" s="56">
        <v>0.0</v>
      </c>
      <c r="E64" s="56">
        <v>212.0</v>
      </c>
      <c r="F64" s="56">
        <v>105.0</v>
      </c>
      <c r="G64" s="56">
        <v>131.0</v>
      </c>
      <c r="H64" s="56">
        <v>44.0</v>
      </c>
      <c r="I64" s="57">
        <f t="shared" si="3"/>
        <v>104.5</v>
      </c>
      <c r="J64" s="57"/>
      <c r="K64" s="5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idden="1">
      <c r="A65" s="55">
        <v>45606.0</v>
      </c>
      <c r="B65" s="56">
        <v>4.0</v>
      </c>
      <c r="C65" s="56">
        <v>0.0</v>
      </c>
      <c r="D65" s="56">
        <v>0.0</v>
      </c>
      <c r="E65" s="56">
        <v>362.0</v>
      </c>
      <c r="F65" s="56">
        <v>177.0</v>
      </c>
      <c r="G65" s="56">
        <v>239.0</v>
      </c>
      <c r="H65" s="56">
        <v>97.0</v>
      </c>
      <c r="I65" s="57">
        <f t="shared" si="3"/>
        <v>193</v>
      </c>
      <c r="J65" s="57"/>
      <c r="K65" s="5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idden="1">
      <c r="A66" s="55">
        <v>45620.0</v>
      </c>
      <c r="B66" s="56">
        <v>4.0</v>
      </c>
      <c r="C66" s="56">
        <v>0.0</v>
      </c>
      <c r="D66" s="56">
        <v>0.0</v>
      </c>
      <c r="E66" s="56">
        <v>362.0</v>
      </c>
      <c r="F66" s="56">
        <v>177.0</v>
      </c>
      <c r="G66" s="56">
        <v>239.0</v>
      </c>
      <c r="H66" s="56">
        <v>97.0</v>
      </c>
      <c r="I66" s="57">
        <f t="shared" si="3"/>
        <v>0</v>
      </c>
      <c r="J66" s="57"/>
      <c r="K66" s="5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idden="1">
      <c r="A67" s="55">
        <v>45634.0</v>
      </c>
      <c r="B67" s="56">
        <v>49.0</v>
      </c>
      <c r="C67" s="56">
        <v>0.0</v>
      </c>
      <c r="D67" s="56">
        <v>0.0</v>
      </c>
      <c r="E67" s="56">
        <v>805.0</v>
      </c>
      <c r="F67" s="56">
        <v>393.0</v>
      </c>
      <c r="G67" s="56">
        <v>526.0</v>
      </c>
      <c r="H67" s="56">
        <v>313.0</v>
      </c>
      <c r="I67" s="57">
        <f t="shared" si="3"/>
        <v>603.5</v>
      </c>
      <c r="J67" s="57"/>
      <c r="K67" s="5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idden="1">
      <c r="A68" s="55">
        <v>45648.0</v>
      </c>
      <c r="B68" s="56">
        <v>64.0</v>
      </c>
      <c r="C68" s="56">
        <v>0.0</v>
      </c>
      <c r="D68" s="56">
        <v>0.0</v>
      </c>
      <c r="E68" s="56">
        <v>1067.0</v>
      </c>
      <c r="F68" s="56">
        <v>525.0</v>
      </c>
      <c r="G68" s="56">
        <v>665.0</v>
      </c>
      <c r="H68" s="56">
        <v>435.0</v>
      </c>
      <c r="I68" s="57">
        <f t="shared" si="3"/>
        <v>335</v>
      </c>
      <c r="J68" s="57"/>
      <c r="K68" s="5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55">
        <v>45662.0</v>
      </c>
      <c r="B69" s="56">
        <v>91.0</v>
      </c>
      <c r="C69" s="56">
        <v>0.0</v>
      </c>
      <c r="D69" s="56">
        <v>0.0</v>
      </c>
      <c r="E69" s="56">
        <v>1353.0</v>
      </c>
      <c r="F69" s="56">
        <v>669.0</v>
      </c>
      <c r="G69" s="56">
        <v>824.0</v>
      </c>
      <c r="H69" s="56">
        <v>571.0</v>
      </c>
      <c r="I69" s="57">
        <f t="shared" si="3"/>
        <v>376</v>
      </c>
      <c r="J69" s="57"/>
      <c r="K69" s="58"/>
      <c r="L69" s="61" t="s">
        <v>62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55">
        <v>45675.0</v>
      </c>
      <c r="B70" s="56">
        <v>0.0</v>
      </c>
      <c r="C70" s="56">
        <v>0.0</v>
      </c>
      <c r="D70" s="56">
        <v>0.0</v>
      </c>
      <c r="E70" s="56">
        <v>0.0</v>
      </c>
      <c r="F70" s="56">
        <v>0.0</v>
      </c>
      <c r="G70" s="56">
        <v>0.0</v>
      </c>
      <c r="H70" s="56">
        <v>0.0</v>
      </c>
      <c r="I70" s="57">
        <f t="shared" si="3"/>
        <v>-1754</v>
      </c>
      <c r="J70" s="57"/>
      <c r="K70" s="5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55">
        <v>45676.0</v>
      </c>
      <c r="B71" s="56">
        <v>22.0</v>
      </c>
      <c r="C71" s="56">
        <v>0.0</v>
      </c>
      <c r="D71" s="56">
        <v>0.0</v>
      </c>
      <c r="E71" s="56">
        <v>427.0</v>
      </c>
      <c r="F71" s="56">
        <v>211.0</v>
      </c>
      <c r="G71" s="56">
        <v>218.0</v>
      </c>
      <c r="H71" s="56">
        <v>200.0</v>
      </c>
      <c r="I71" s="57">
        <f t="shared" si="3"/>
        <v>539</v>
      </c>
      <c r="J71" s="57"/>
      <c r="K71" s="5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55">
        <v>45690.0</v>
      </c>
      <c r="B72" s="56">
        <v>28.0</v>
      </c>
      <c r="C72" s="56">
        <v>0.0</v>
      </c>
      <c r="D72" s="56">
        <v>0.0</v>
      </c>
      <c r="E72" s="56">
        <v>704.0</v>
      </c>
      <c r="F72" s="56">
        <v>350.0</v>
      </c>
      <c r="G72" s="56">
        <v>363.0</v>
      </c>
      <c r="H72" s="56">
        <v>336.0</v>
      </c>
      <c r="I72" s="57">
        <f t="shared" si="3"/>
        <v>351.5</v>
      </c>
      <c r="J72" s="57"/>
      <c r="K72" s="5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55">
        <v>45704.0</v>
      </c>
      <c r="B73" s="56">
        <v>40.0</v>
      </c>
      <c r="C73" s="56">
        <v>0.0</v>
      </c>
      <c r="D73" s="56">
        <v>0.0</v>
      </c>
      <c r="E73" s="56">
        <v>1020.0</v>
      </c>
      <c r="F73" s="56">
        <v>514.0</v>
      </c>
      <c r="G73" s="56">
        <v>544.0</v>
      </c>
      <c r="H73" s="56">
        <v>481.0</v>
      </c>
      <c r="I73" s="57">
        <f t="shared" si="3"/>
        <v>409</v>
      </c>
      <c r="J73" s="57"/>
      <c r="K73" s="5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55">
        <v>45724.0</v>
      </c>
      <c r="B74" s="56">
        <v>52.0</v>
      </c>
      <c r="C74" s="56">
        <v>0.0</v>
      </c>
      <c r="D74" s="56">
        <v>0.0</v>
      </c>
      <c r="E74" s="56">
        <v>1325.0</v>
      </c>
      <c r="F74" s="56">
        <v>663.0</v>
      </c>
      <c r="G74" s="56">
        <v>753.0</v>
      </c>
      <c r="H74" s="56">
        <v>623.0</v>
      </c>
      <c r="I74" s="57">
        <f t="shared" si="3"/>
        <v>408.5</v>
      </c>
      <c r="J74" s="57"/>
      <c r="K74" s="5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55">
        <v>45732.0</v>
      </c>
      <c r="B75" s="56">
        <v>53.0</v>
      </c>
      <c r="C75" s="56">
        <v>0.0</v>
      </c>
      <c r="D75" s="56">
        <v>0.0</v>
      </c>
      <c r="E75" s="56">
        <v>1427.0</v>
      </c>
      <c r="F75" s="56">
        <v>713.0</v>
      </c>
      <c r="G75" s="56">
        <v>828.0</v>
      </c>
      <c r="H75" s="56">
        <v>664.0</v>
      </c>
      <c r="I75" s="57">
        <f t="shared" si="3"/>
        <v>134.5</v>
      </c>
      <c r="J75" s="57"/>
      <c r="K75" s="5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55">
        <v>45746.0</v>
      </c>
      <c r="B76" s="56">
        <v>54.0</v>
      </c>
      <c r="C76" s="56">
        <v>0.0</v>
      </c>
      <c r="D76" s="56">
        <v>0.0</v>
      </c>
      <c r="E76" s="56">
        <v>1572.0</v>
      </c>
      <c r="F76" s="56">
        <v>789.0</v>
      </c>
      <c r="G76" s="56">
        <v>919.0</v>
      </c>
      <c r="H76" s="56">
        <v>737.0</v>
      </c>
      <c r="I76" s="57">
        <f t="shared" si="3"/>
        <v>193</v>
      </c>
      <c r="J76" s="57"/>
      <c r="K76" s="5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55">
        <v>45760.0</v>
      </c>
      <c r="B77" s="56">
        <v>54.0</v>
      </c>
      <c r="C77" s="56">
        <v>0.0</v>
      </c>
      <c r="D77" s="56">
        <v>0.0</v>
      </c>
      <c r="E77" s="56">
        <v>1638.0</v>
      </c>
      <c r="F77" s="56">
        <v>823.0</v>
      </c>
      <c r="G77" s="56">
        <v>992.0</v>
      </c>
      <c r="H77" s="56">
        <v>762.0</v>
      </c>
      <c r="I77" s="57">
        <f t="shared" si="3"/>
        <v>99</v>
      </c>
      <c r="J77" s="57"/>
      <c r="K77" s="5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55">
        <v>45774.0</v>
      </c>
      <c r="B78" s="56">
        <v>54.0</v>
      </c>
      <c r="C78" s="56">
        <v>0.0</v>
      </c>
      <c r="D78" s="56">
        <v>0.0</v>
      </c>
      <c r="E78" s="56">
        <v>1676.0</v>
      </c>
      <c r="F78" s="56">
        <v>838.0</v>
      </c>
      <c r="G78" s="56">
        <v>1033.0</v>
      </c>
      <c r="H78" s="56">
        <v>764.0</v>
      </c>
      <c r="I78" s="57">
        <f t="shared" si="3"/>
        <v>48</v>
      </c>
      <c r="J78" s="57"/>
      <c r="K78" s="5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55">
        <v>45788.0</v>
      </c>
      <c r="B79" s="56">
        <v>54.0</v>
      </c>
      <c r="C79" s="56">
        <v>0.0</v>
      </c>
      <c r="D79" s="56">
        <v>0.0</v>
      </c>
      <c r="E79" s="56">
        <v>1693.0</v>
      </c>
      <c r="F79" s="56">
        <v>842.0</v>
      </c>
      <c r="G79" s="56">
        <v>1051.0</v>
      </c>
      <c r="H79" s="56">
        <v>764.0</v>
      </c>
      <c r="I79" s="57">
        <f t="shared" si="3"/>
        <v>19.5</v>
      </c>
      <c r="J79" s="57"/>
      <c r="K79" s="5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55">
        <v>45802.0</v>
      </c>
      <c r="B80" s="56">
        <v>54.0</v>
      </c>
      <c r="C80" s="56">
        <v>0.0</v>
      </c>
      <c r="D80" s="56">
        <v>0.0</v>
      </c>
      <c r="E80" s="56">
        <v>1701.0</v>
      </c>
      <c r="F80" s="56">
        <v>844.0</v>
      </c>
      <c r="G80" s="56">
        <v>1063.0</v>
      </c>
      <c r="H80" s="56">
        <v>764.0</v>
      </c>
      <c r="I80" s="57">
        <f t="shared" si="3"/>
        <v>11</v>
      </c>
      <c r="J80" s="57"/>
      <c r="K80" s="5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55">
        <v>45816.0</v>
      </c>
      <c r="B81" s="56">
        <v>54.0</v>
      </c>
      <c r="C81" s="56">
        <v>0.0</v>
      </c>
      <c r="D81" s="56">
        <v>0.0</v>
      </c>
      <c r="E81" s="56">
        <v>1703.0</v>
      </c>
      <c r="F81" s="56">
        <v>845.0</v>
      </c>
      <c r="G81" s="56">
        <v>1067.0</v>
      </c>
      <c r="H81" s="56">
        <v>764.0</v>
      </c>
      <c r="I81" s="57">
        <f t="shared" si="3"/>
        <v>3.5</v>
      </c>
      <c r="J81" s="57"/>
      <c r="K81" s="5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55">
        <v>45830.0</v>
      </c>
      <c r="B82" s="56">
        <v>54.0</v>
      </c>
      <c r="C82" s="56">
        <v>0.0</v>
      </c>
      <c r="D82" s="56">
        <v>0.0</v>
      </c>
      <c r="E82" s="56">
        <v>1703.0</v>
      </c>
      <c r="F82" s="56">
        <v>845.0</v>
      </c>
      <c r="G82" s="56">
        <v>1070.0</v>
      </c>
      <c r="H82" s="56">
        <v>764.0</v>
      </c>
      <c r="I82" s="57">
        <f t="shared" si="3"/>
        <v>1.5</v>
      </c>
      <c r="J82" s="57"/>
      <c r="K82" s="5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55">
        <v>45844.0</v>
      </c>
      <c r="B83" s="56">
        <v>54.0</v>
      </c>
      <c r="C83" s="56">
        <v>0.0</v>
      </c>
      <c r="D83" s="56">
        <v>0.0</v>
      </c>
      <c r="E83" s="56">
        <v>1703.0</v>
      </c>
      <c r="F83" s="56">
        <v>845.0</v>
      </c>
      <c r="G83" s="56">
        <v>1070.0</v>
      </c>
      <c r="H83" s="56">
        <v>764.0</v>
      </c>
      <c r="I83" s="57">
        <f t="shared" si="3"/>
        <v>0</v>
      </c>
      <c r="J83" s="57"/>
      <c r="K83" s="5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55">
        <v>45858.0</v>
      </c>
      <c r="B84" s="56">
        <v>54.0</v>
      </c>
      <c r="C84" s="56">
        <v>0.0</v>
      </c>
      <c r="D84" s="56">
        <v>0.0</v>
      </c>
      <c r="E84" s="56">
        <v>1704.0</v>
      </c>
      <c r="F84" s="56">
        <v>846.0</v>
      </c>
      <c r="G84" s="56">
        <v>1071.0</v>
      </c>
      <c r="H84" s="56">
        <v>765.0</v>
      </c>
      <c r="I84" s="57">
        <f t="shared" si="3"/>
        <v>2</v>
      </c>
      <c r="J84" s="57"/>
      <c r="K84" s="5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55">
        <v>45872.0</v>
      </c>
      <c r="B85" s="56">
        <v>54.0</v>
      </c>
      <c r="C85" s="56">
        <v>0.0</v>
      </c>
      <c r="D85" s="56">
        <v>0.0</v>
      </c>
      <c r="E85" s="56">
        <v>1704.0</v>
      </c>
      <c r="F85" s="56">
        <v>846.0</v>
      </c>
      <c r="G85" s="56">
        <v>1071.0</v>
      </c>
      <c r="H85" s="56">
        <v>765.0</v>
      </c>
      <c r="I85" s="57">
        <f t="shared" si="3"/>
        <v>0</v>
      </c>
      <c r="J85" s="57"/>
      <c r="K85" s="5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55">
        <v>45886.0</v>
      </c>
      <c r="B86" s="56">
        <v>54.0</v>
      </c>
      <c r="C86" s="56">
        <v>0.0</v>
      </c>
      <c r="D86" s="56">
        <v>0.0</v>
      </c>
      <c r="E86" s="56">
        <v>1705.0</v>
      </c>
      <c r="F86" s="56">
        <v>846.0</v>
      </c>
      <c r="G86" s="56">
        <v>1072.0</v>
      </c>
      <c r="H86" s="56">
        <v>765.0</v>
      </c>
      <c r="I86" s="57">
        <f t="shared" si="3"/>
        <v>1</v>
      </c>
      <c r="J86" s="57"/>
      <c r="K86" s="5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55">
        <v>45900.0</v>
      </c>
      <c r="B87" s="56">
        <v>54.0</v>
      </c>
      <c r="C87" s="56">
        <v>0.0</v>
      </c>
      <c r="D87" s="56">
        <v>0.0</v>
      </c>
      <c r="E87" s="56">
        <v>1705.0</v>
      </c>
      <c r="F87" s="56">
        <v>846.0</v>
      </c>
      <c r="G87" s="56">
        <v>1073.0</v>
      </c>
      <c r="H87" s="56">
        <v>765.0</v>
      </c>
      <c r="I87" s="57">
        <f t="shared" si="3"/>
        <v>0.5</v>
      </c>
      <c r="J87" s="57"/>
      <c r="K87" s="5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55">
        <v>45914.0</v>
      </c>
      <c r="B88" s="56">
        <v>54.0</v>
      </c>
      <c r="C88" s="56">
        <v>0.0</v>
      </c>
      <c r="D88" s="56">
        <v>0.0</v>
      </c>
      <c r="E88" s="56">
        <v>1705.0</v>
      </c>
      <c r="F88" s="56">
        <v>847.0</v>
      </c>
      <c r="G88" s="56">
        <v>1076.0</v>
      </c>
      <c r="H88" s="56">
        <v>765.0</v>
      </c>
      <c r="I88" s="57">
        <f t="shared" si="3"/>
        <v>2</v>
      </c>
      <c r="J88" s="57"/>
      <c r="K88" s="5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55">
        <v>45928.0</v>
      </c>
      <c r="B89" s="56">
        <v>54.0</v>
      </c>
      <c r="C89" s="56">
        <v>0.0</v>
      </c>
      <c r="D89" s="56">
        <v>0.0</v>
      </c>
      <c r="E89" s="56">
        <v>1716.0</v>
      </c>
      <c r="F89" s="56">
        <v>853.0</v>
      </c>
      <c r="G89" s="56">
        <v>1091.0</v>
      </c>
      <c r="H89" s="56">
        <v>766.0</v>
      </c>
      <c r="I89" s="57">
        <f t="shared" si="3"/>
        <v>16.5</v>
      </c>
      <c r="J89" s="57"/>
      <c r="K89" s="5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55">
        <v>45942.0</v>
      </c>
      <c r="B90" s="56">
        <v>55.0</v>
      </c>
      <c r="C90" s="56">
        <v>0.0</v>
      </c>
      <c r="D90" s="56">
        <v>0.0</v>
      </c>
      <c r="E90" s="56">
        <v>1792.0</v>
      </c>
      <c r="F90" s="56">
        <v>884.0</v>
      </c>
      <c r="G90" s="56">
        <v>1157.0</v>
      </c>
      <c r="H90" s="56">
        <v>782.0</v>
      </c>
      <c r="I90" s="57">
        <f t="shared" si="3"/>
        <v>95</v>
      </c>
      <c r="J90" s="57"/>
      <c r="K90" s="5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55">
        <v>45956.0</v>
      </c>
      <c r="B91" s="56">
        <v>56.0</v>
      </c>
      <c r="C91" s="56">
        <v>0.0</v>
      </c>
      <c r="D91" s="56">
        <v>0.0</v>
      </c>
      <c r="E91" s="56">
        <v>1922.0</v>
      </c>
      <c r="F91" s="56">
        <v>936.0</v>
      </c>
      <c r="G91" s="56">
        <v>1249.0</v>
      </c>
      <c r="H91" s="56">
        <v>811.0</v>
      </c>
      <c r="I91" s="57">
        <f t="shared" si="3"/>
        <v>152</v>
      </c>
      <c r="J91" s="57"/>
      <c r="K91" s="5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55">
        <v>45972.0</v>
      </c>
      <c r="B92" s="56">
        <v>58.0</v>
      </c>
      <c r="C92" s="56">
        <v>0.0</v>
      </c>
      <c r="D92" s="56">
        <v>0.0</v>
      </c>
      <c r="E92" s="56">
        <v>2087.0</v>
      </c>
      <c r="F92" s="56">
        <v>1031.0</v>
      </c>
      <c r="G92" s="56">
        <v>1366.0</v>
      </c>
      <c r="H92" s="56">
        <v>864.0</v>
      </c>
      <c r="I92" s="57">
        <f t="shared" si="3"/>
        <v>216</v>
      </c>
      <c r="J92" s="57"/>
      <c r="K92" s="5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55">
        <v>45984.0</v>
      </c>
      <c r="B93" s="56">
        <v>84.0</v>
      </c>
      <c r="C93" s="56">
        <v>0.0</v>
      </c>
      <c r="D93" s="56">
        <v>0.0</v>
      </c>
      <c r="E93" s="56">
        <v>2264.0</v>
      </c>
      <c r="F93" s="56">
        <v>1134.0</v>
      </c>
      <c r="G93" s="56">
        <v>1493.0</v>
      </c>
      <c r="H93" s="56">
        <v>949.0</v>
      </c>
      <c r="I93" s="57">
        <f t="shared" si="3"/>
        <v>259</v>
      </c>
      <c r="J93" s="57"/>
      <c r="K93" s="5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55">
        <v>45998.0</v>
      </c>
      <c r="B94" s="56">
        <v>84.0</v>
      </c>
      <c r="C94" s="56">
        <v>0.0</v>
      </c>
      <c r="D94" s="56">
        <v>0.0</v>
      </c>
      <c r="E94" s="56">
        <v>2264.0</v>
      </c>
      <c r="F94" s="56">
        <v>1134.0</v>
      </c>
      <c r="G94" s="56">
        <v>1493.0</v>
      </c>
      <c r="H94" s="56">
        <v>949.0</v>
      </c>
      <c r="I94" s="57">
        <f t="shared" si="3"/>
        <v>0</v>
      </c>
      <c r="J94" s="57"/>
      <c r="K94" s="58"/>
      <c r="L94" s="1"/>
      <c r="M94" s="61" t="s">
        <v>63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55">
        <v>46016.0</v>
      </c>
      <c r="B95" s="56">
        <v>125.0</v>
      </c>
      <c r="C95" s="56">
        <v>0.0</v>
      </c>
      <c r="D95" s="56">
        <v>0.0</v>
      </c>
      <c r="E95" s="56">
        <v>2822.0</v>
      </c>
      <c r="F95" s="56">
        <v>1328.0</v>
      </c>
      <c r="G95" s="56">
        <v>1823.0</v>
      </c>
      <c r="H95" s="56">
        <v>1189.0</v>
      </c>
      <c r="I95" s="57">
        <f t="shared" si="3"/>
        <v>681.5</v>
      </c>
      <c r="J95" s="57"/>
      <c r="K95" s="58"/>
      <c r="L95" s="1"/>
      <c r="M95" s="61" t="s">
        <v>64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55">
        <v>45660.0</v>
      </c>
      <c r="B96" s="56">
        <v>153.0</v>
      </c>
      <c r="C96" s="56">
        <v>0.0</v>
      </c>
      <c r="D96" s="56">
        <v>0.0</v>
      </c>
      <c r="E96" s="56">
        <v>2973.0</v>
      </c>
      <c r="F96" s="56">
        <v>1405.0</v>
      </c>
      <c r="G96" s="56">
        <v>1922.0</v>
      </c>
      <c r="H96" s="56">
        <v>1267.0</v>
      </c>
      <c r="I96" s="57">
        <f t="shared" si="3"/>
        <v>216.5</v>
      </c>
      <c r="J96" s="57"/>
      <c r="K96" s="58"/>
      <c r="L96" s="1"/>
      <c r="M96" s="61" t="s">
        <v>65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63" t="s">
        <v>66</v>
      </c>
      <c r="B97" s="64">
        <f>SUM(B96:H96)</f>
        <v>7720</v>
      </c>
      <c r="C97" s="65"/>
      <c r="D97" s="65"/>
      <c r="E97" s="65"/>
      <c r="F97" s="65"/>
      <c r="G97" s="65"/>
      <c r="H97" s="65"/>
      <c r="I97" s="65"/>
      <c r="J97" s="57"/>
      <c r="K97" s="5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55"/>
      <c r="B98" s="56"/>
      <c r="C98" s="56"/>
      <c r="D98" s="56"/>
      <c r="E98" s="56"/>
      <c r="F98" s="56"/>
      <c r="G98" s="56"/>
      <c r="H98" s="56"/>
      <c r="I98" s="57"/>
      <c r="J98" s="57"/>
      <c r="K98" s="5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55"/>
      <c r="B99" s="56"/>
      <c r="C99" s="56"/>
      <c r="D99" s="56"/>
      <c r="E99" s="56"/>
      <c r="F99" s="56"/>
      <c r="G99" s="56"/>
      <c r="H99" s="56"/>
      <c r="I99" s="57"/>
      <c r="J99" s="57"/>
      <c r="K99" s="5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55"/>
      <c r="B100" s="56"/>
      <c r="C100" s="56"/>
      <c r="D100" s="56"/>
      <c r="E100" s="56"/>
      <c r="F100" s="56"/>
      <c r="G100" s="56"/>
      <c r="H100" s="56"/>
      <c r="I100" s="57"/>
      <c r="J100" s="57"/>
      <c r="K100" s="5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55"/>
      <c r="B101" s="56"/>
      <c r="C101" s="56"/>
      <c r="D101" s="56"/>
      <c r="E101" s="56"/>
      <c r="F101" s="56"/>
      <c r="G101" s="56"/>
      <c r="H101" s="56"/>
      <c r="I101" s="57"/>
      <c r="J101" s="57"/>
      <c r="K101" s="5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6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6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6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6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6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6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6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6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6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6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6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6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6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6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6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6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6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6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6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6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6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6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6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6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6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6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6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6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6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6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6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6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6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6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6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6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6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6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6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6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6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6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6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6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6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6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6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6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6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6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6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6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6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6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6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6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6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6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6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6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6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6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6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6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6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6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6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6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6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6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6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6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6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6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6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6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6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6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6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6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6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6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6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6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6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6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6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6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6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6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6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6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6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6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6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6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6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6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6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6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6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6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6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6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6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6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6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6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6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6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6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6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6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6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6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6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6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6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6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6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6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6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6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6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6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6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6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6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6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6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6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6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6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6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6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6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6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6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6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6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6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6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6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6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6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6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6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6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6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6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6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6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6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6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6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6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6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6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6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6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6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6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6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6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6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6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6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6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6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6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6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6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6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6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6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6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6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6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6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6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6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6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6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6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6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6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6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6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6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6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6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6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6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6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6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6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6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6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6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6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6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6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6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6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6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6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6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6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6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6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6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6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6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6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6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6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6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6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6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6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6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6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6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6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6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6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6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6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6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6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6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6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6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6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6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6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6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6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6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6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6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6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6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6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6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6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6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6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6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6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6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6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6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6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6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6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6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6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6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6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6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6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6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6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6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6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6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6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6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6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6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6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6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6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6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6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6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6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6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6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6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6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6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6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6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6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6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6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6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6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6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6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6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6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6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6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6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6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6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6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6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6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6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6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6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6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6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6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6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6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6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6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6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6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6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6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6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6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6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6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6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6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6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6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6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6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6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6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6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6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6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6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6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6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6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6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6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6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6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6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6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6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6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6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6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6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6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6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6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6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6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6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6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6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6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6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6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6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6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6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6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6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6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6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6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6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6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6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6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6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6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6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6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6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6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6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6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6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6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6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6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6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6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6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6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6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6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6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6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6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6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6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6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6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6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6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6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6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6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6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6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6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6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6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6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6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6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6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6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6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6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6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6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6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6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6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6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6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6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6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6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6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6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6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6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6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6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6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6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6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6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6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6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6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6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6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6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6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6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6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6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6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6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6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6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6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6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6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6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6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6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6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6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6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6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6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6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6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6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6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6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6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6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6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6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6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6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6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6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6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6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6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6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6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6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6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6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6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6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6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6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6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6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6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6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6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6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6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6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6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6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6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6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6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6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6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6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6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6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6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6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6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6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6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6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6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6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6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6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6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6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6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6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6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6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6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6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6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6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6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6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6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6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6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6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6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6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6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6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6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6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6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6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6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6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6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6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6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6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6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6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6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6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6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6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6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6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6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6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6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6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6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6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6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6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6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6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6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6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6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6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6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6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6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6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6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6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6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6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6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6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6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6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6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6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6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6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6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6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6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6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6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6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6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6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6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6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6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6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6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6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6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6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6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6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6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6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6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6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6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6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6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6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6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6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6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6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6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6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6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6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6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6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6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6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6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6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6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6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6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6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6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6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6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6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6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6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6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6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6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6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6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6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6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6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6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6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6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6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6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6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6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6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6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6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6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6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6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6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6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6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6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6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6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6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6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6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6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6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6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6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6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6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6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6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6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6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6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6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6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6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6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6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6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6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6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6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6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6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6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6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6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6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6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6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6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6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6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6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6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6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6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6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6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6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6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6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6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6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6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6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6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6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6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6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6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6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6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6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6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6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6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6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6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6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6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6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6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6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6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6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6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6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6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6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6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6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6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6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6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6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6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6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6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6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6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6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6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6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6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6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6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6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6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6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6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6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6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6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6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6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6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6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6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6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6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6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6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6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6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6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6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6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6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6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6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6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6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6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6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6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6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6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6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6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6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6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6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6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6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6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6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6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6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6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6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6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6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6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6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6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6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6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6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6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6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6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6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6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6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6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6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6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6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6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6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6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6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6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6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6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6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6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6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6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6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6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6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6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6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6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6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6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6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6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6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6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6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6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6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6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6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6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6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6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6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6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6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6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6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6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6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6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6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6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6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6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6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6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6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6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6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6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6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6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6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6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6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6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6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6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6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6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6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6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6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6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6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6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6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6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6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6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6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6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6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6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6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6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6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6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6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6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6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6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6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6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6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6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6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6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6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6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6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6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6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6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6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6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6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6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1">
    <mergeCell ref="B97:I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75"/>
  <cols>
    <col customWidth="1" min="1" max="1" width="33.38"/>
    <col customWidth="1" min="2" max="2" width="18.0"/>
    <col customWidth="1" min="3" max="3" width="13.25"/>
    <col customWidth="1" min="4" max="4" width="9.38"/>
    <col customWidth="1" min="5" max="5" width="18.0"/>
    <col customWidth="1" min="6" max="6" width="13.25"/>
    <col customWidth="1" min="7" max="7" width="11.0"/>
    <col customWidth="1" min="8" max="8" width="18.0"/>
    <col customWidth="1" min="9" max="9" width="13.25"/>
    <col customWidth="1" min="10" max="10" width="10.38"/>
    <col customWidth="1" min="11" max="11" width="18.0"/>
    <col customWidth="1" min="12" max="12" width="13.25"/>
    <col customWidth="1" min="13" max="13" width="1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6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6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61">
        <v>2018.0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61">
        <v>2019.0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61">
        <v>2020.0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61">
        <v>2021.0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1"/>
      <c r="B8" s="2" t="s">
        <v>0</v>
      </c>
      <c r="E8" s="2">
        <v>2019.0</v>
      </c>
      <c r="H8" s="2">
        <v>2020.0</v>
      </c>
      <c r="K8" s="2">
        <v>2021.0</v>
      </c>
      <c r="N8" s="2">
        <v>2022.0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66" t="s">
        <v>1</v>
      </c>
      <c r="B9" s="4" t="s">
        <v>2</v>
      </c>
      <c r="C9" s="4" t="s">
        <v>3</v>
      </c>
      <c r="D9" s="4" t="s">
        <v>4</v>
      </c>
      <c r="E9" s="5" t="s">
        <v>2</v>
      </c>
      <c r="F9" s="5" t="s">
        <v>3</v>
      </c>
      <c r="G9" s="5" t="s">
        <v>4</v>
      </c>
      <c r="H9" s="4" t="s">
        <v>2</v>
      </c>
      <c r="I9" s="4" t="s">
        <v>3</v>
      </c>
      <c r="J9" s="4" t="s">
        <v>4</v>
      </c>
      <c r="K9" s="5" t="s">
        <v>2</v>
      </c>
      <c r="L9" s="5" t="s">
        <v>3</v>
      </c>
      <c r="M9" s="67" t="s">
        <v>4</v>
      </c>
      <c r="N9" s="4" t="s">
        <v>2</v>
      </c>
      <c r="O9" s="4" t="s">
        <v>3</v>
      </c>
      <c r="P9" s="4" t="s">
        <v>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68" t="s">
        <v>5</v>
      </c>
      <c r="B10" s="9"/>
      <c r="C10" s="9"/>
      <c r="D10" s="10">
        <f>D11+D12</f>
        <v>128.838346</v>
      </c>
      <c r="E10" s="11"/>
      <c r="F10" s="11"/>
      <c r="G10" s="12">
        <f>G11+G12</f>
        <v>344.431003</v>
      </c>
      <c r="H10" s="9"/>
      <c r="I10" s="9"/>
      <c r="J10" s="10">
        <f>J11+J12</f>
        <v>403.714464</v>
      </c>
      <c r="K10" s="11"/>
      <c r="L10" s="11"/>
      <c r="M10" s="48">
        <f>M11+M12</f>
        <v>709.018258</v>
      </c>
      <c r="N10" s="9"/>
      <c r="O10" s="9"/>
      <c r="P10" s="10">
        <f>P11+P12</f>
        <v>102.614688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69" t="s">
        <v>6</v>
      </c>
      <c r="B11" s="16">
        <v>81.0</v>
      </c>
      <c r="C11" s="17">
        <v>1.238106</v>
      </c>
      <c r="D11" s="10">
        <f>(C11*B11)*0.36</f>
        <v>36.10317096</v>
      </c>
      <c r="E11" s="18">
        <v>81.0</v>
      </c>
      <c r="F11" s="19">
        <v>1.099792</v>
      </c>
      <c r="G11" s="12">
        <f>F11*E11</f>
        <v>89.083152</v>
      </c>
      <c r="H11" s="16">
        <v>81.0</v>
      </c>
      <c r="I11" s="17">
        <v>1.266848</v>
      </c>
      <c r="J11" s="10">
        <f>I11*H11</f>
        <v>102.614688</v>
      </c>
      <c r="K11" s="18">
        <v>81.0</v>
      </c>
      <c r="L11" s="19">
        <v>1.813826</v>
      </c>
      <c r="M11" s="48">
        <f>L11*K11</f>
        <v>146.919906</v>
      </c>
      <c r="N11" s="16">
        <v>81.0</v>
      </c>
      <c r="O11" s="17">
        <v>1.266848</v>
      </c>
      <c r="P11" s="10">
        <f>O11*N11</f>
        <v>102.614688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69" t="s">
        <v>7</v>
      </c>
      <c r="B12" s="16">
        <f>SUM(B13:B19)</f>
        <v>2095</v>
      </c>
      <c r="C12" s="22"/>
      <c r="D12" s="10">
        <f t="shared" ref="D12:E12" si="1">SUM(D13:D19)</f>
        <v>92.735175</v>
      </c>
      <c r="E12" s="18">
        <f t="shared" si="1"/>
        <v>5969</v>
      </c>
      <c r="F12" s="23"/>
      <c r="G12" s="12">
        <f t="shared" ref="G12:H12" si="2">SUM(G13:G19)</f>
        <v>255.347851</v>
      </c>
      <c r="H12" s="16">
        <f t="shared" si="2"/>
        <v>5952</v>
      </c>
      <c r="I12" s="22"/>
      <c r="J12" s="10">
        <f t="shared" ref="J12:K12" si="3">SUM(J13:J19)</f>
        <v>301.099776</v>
      </c>
      <c r="K12" s="18">
        <f t="shared" si="3"/>
        <v>9278</v>
      </c>
      <c r="L12" s="23"/>
      <c r="M12" s="48">
        <f t="shared" ref="M12:N12" si="4">SUM(M13:M19)</f>
        <v>562.098352</v>
      </c>
      <c r="N12" s="16">
        <f t="shared" si="4"/>
        <v>0</v>
      </c>
      <c r="O12" s="22"/>
      <c r="P12" s="10">
        <f>SUM(P13:P19)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70" t="s">
        <v>8</v>
      </c>
      <c r="B13" s="16">
        <v>222.0</v>
      </c>
      <c r="C13" s="17">
        <v>0.044265</v>
      </c>
      <c r="D13" s="10">
        <f t="shared" ref="D13:D19" si="5">B13*C13</f>
        <v>9.82683</v>
      </c>
      <c r="E13" s="18">
        <v>712.0</v>
      </c>
      <c r="F13" s="19">
        <v>0.042779</v>
      </c>
      <c r="G13" s="12">
        <f t="shared" ref="G13:G22" si="6">E13*F13</f>
        <v>30.458648</v>
      </c>
      <c r="H13" s="16">
        <v>846.0</v>
      </c>
      <c r="I13" s="17">
        <v>0.050588</v>
      </c>
      <c r="J13" s="10">
        <f t="shared" ref="J13:J22" si="7">H13*I13</f>
        <v>42.797448</v>
      </c>
      <c r="K13" s="18">
        <v>1552.0</v>
      </c>
      <c r="L13" s="19">
        <v>0.060584</v>
      </c>
      <c r="M13" s="48">
        <f t="shared" ref="M13:M21" si="8">K13*L13</f>
        <v>94.026368</v>
      </c>
      <c r="N13" s="16">
        <v>0.0</v>
      </c>
      <c r="O13" s="17">
        <v>0.050588</v>
      </c>
      <c r="P13" s="10">
        <f t="shared" ref="P13:P22" si="9">N13*O13</f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70" t="s">
        <v>9</v>
      </c>
      <c r="B14" s="16">
        <v>0.0</v>
      </c>
      <c r="C14" s="17">
        <v>0.044265</v>
      </c>
      <c r="D14" s="10">
        <f t="shared" si="5"/>
        <v>0</v>
      </c>
      <c r="E14" s="18">
        <v>0.0</v>
      </c>
      <c r="F14" s="19">
        <v>0.042779</v>
      </c>
      <c r="G14" s="12">
        <f t="shared" si="6"/>
        <v>0</v>
      </c>
      <c r="H14" s="16">
        <v>0.0</v>
      </c>
      <c r="I14" s="17">
        <v>0.050588</v>
      </c>
      <c r="J14" s="10">
        <f t="shared" si="7"/>
        <v>0</v>
      </c>
      <c r="K14" s="18">
        <v>0.0</v>
      </c>
      <c r="L14" s="19">
        <v>0.060584</v>
      </c>
      <c r="M14" s="48">
        <f t="shared" si="8"/>
        <v>0</v>
      </c>
      <c r="N14" s="16">
        <v>0.0</v>
      </c>
      <c r="O14" s="17">
        <v>0.050588</v>
      </c>
      <c r="P14" s="10">
        <f t="shared" si="9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70" t="s">
        <v>10</v>
      </c>
      <c r="B15" s="16">
        <v>14.0</v>
      </c>
      <c r="C15" s="17">
        <v>0.044265</v>
      </c>
      <c r="D15" s="10">
        <f t="shared" si="5"/>
        <v>0.61971</v>
      </c>
      <c r="E15" s="18">
        <v>22.0</v>
      </c>
      <c r="F15" s="19">
        <v>0.042779</v>
      </c>
      <c r="G15" s="12">
        <f t="shared" si="6"/>
        <v>0.941138</v>
      </c>
      <c r="H15" s="16">
        <v>0.0</v>
      </c>
      <c r="I15" s="17">
        <v>0.050588</v>
      </c>
      <c r="J15" s="10">
        <f t="shared" si="7"/>
        <v>0</v>
      </c>
      <c r="K15" s="18">
        <v>0.0</v>
      </c>
      <c r="L15" s="19">
        <v>0.060584</v>
      </c>
      <c r="M15" s="48">
        <f t="shared" si="8"/>
        <v>0</v>
      </c>
      <c r="N15" s="16">
        <v>0.0</v>
      </c>
      <c r="O15" s="17">
        <v>0.050588</v>
      </c>
      <c r="P15" s="10">
        <f t="shared" si="9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70" t="s">
        <v>11</v>
      </c>
      <c r="B16" s="16">
        <v>853.0</v>
      </c>
      <c r="C16" s="17">
        <v>0.044265</v>
      </c>
      <c r="D16" s="10">
        <f t="shared" si="5"/>
        <v>37.758045</v>
      </c>
      <c r="E16" s="18">
        <v>1644.0</v>
      </c>
      <c r="F16" s="19">
        <v>0.042779</v>
      </c>
      <c r="G16" s="12">
        <f t="shared" si="6"/>
        <v>70.328676</v>
      </c>
      <c r="H16" s="16">
        <v>1670.0</v>
      </c>
      <c r="I16" s="17">
        <v>0.050588</v>
      </c>
      <c r="J16" s="10">
        <f t="shared" si="7"/>
        <v>84.48196</v>
      </c>
      <c r="K16" s="18">
        <v>1812.0</v>
      </c>
      <c r="L16" s="19">
        <v>0.060584</v>
      </c>
      <c r="M16" s="48">
        <f t="shared" si="8"/>
        <v>109.778208</v>
      </c>
      <c r="N16" s="16">
        <v>0.0</v>
      </c>
      <c r="O16" s="17">
        <v>0.050588</v>
      </c>
      <c r="P16" s="10">
        <f t="shared" si="9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70" t="s">
        <v>12</v>
      </c>
      <c r="B17" s="16">
        <v>576.0</v>
      </c>
      <c r="C17" s="17">
        <v>0.044265</v>
      </c>
      <c r="D17" s="10">
        <f t="shared" si="5"/>
        <v>25.49664</v>
      </c>
      <c r="E17" s="18">
        <v>1391.0</v>
      </c>
      <c r="F17" s="19">
        <v>0.042779</v>
      </c>
      <c r="G17" s="12">
        <f t="shared" si="6"/>
        <v>59.505589</v>
      </c>
      <c r="H17" s="16">
        <v>1290.0</v>
      </c>
      <c r="I17" s="17">
        <v>0.050588</v>
      </c>
      <c r="J17" s="10">
        <f t="shared" si="7"/>
        <v>65.25852</v>
      </c>
      <c r="K17" s="18">
        <v>3058.0</v>
      </c>
      <c r="L17" s="19">
        <v>0.060584</v>
      </c>
      <c r="M17" s="48">
        <f t="shared" si="8"/>
        <v>185.265872</v>
      </c>
      <c r="N17" s="16">
        <v>0.0</v>
      </c>
      <c r="O17" s="17">
        <v>0.050588</v>
      </c>
      <c r="P17" s="10">
        <f t="shared" si="9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70" t="s">
        <v>13</v>
      </c>
      <c r="B18" s="16">
        <v>307.0</v>
      </c>
      <c r="C18" s="17">
        <v>0.044265</v>
      </c>
      <c r="D18" s="10">
        <f t="shared" si="5"/>
        <v>13.589355</v>
      </c>
      <c r="E18" s="18">
        <v>869.0</v>
      </c>
      <c r="F18" s="19">
        <v>0.042779</v>
      </c>
      <c r="G18" s="12">
        <f t="shared" si="6"/>
        <v>37.174951</v>
      </c>
      <c r="H18" s="16">
        <v>613.0</v>
      </c>
      <c r="I18" s="17">
        <v>0.050588</v>
      </c>
      <c r="J18" s="10">
        <f t="shared" si="7"/>
        <v>31.010444</v>
      </c>
      <c r="K18" s="18">
        <v>581.0</v>
      </c>
      <c r="L18" s="19">
        <v>0.060584</v>
      </c>
      <c r="M18" s="48">
        <f t="shared" si="8"/>
        <v>35.199304</v>
      </c>
      <c r="N18" s="16">
        <v>0.0</v>
      </c>
      <c r="O18" s="17">
        <v>0.050588</v>
      </c>
      <c r="P18" s="10">
        <f t="shared" si="9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70" t="s">
        <v>14</v>
      </c>
      <c r="B19" s="16">
        <v>123.0</v>
      </c>
      <c r="C19" s="17">
        <v>0.044265</v>
      </c>
      <c r="D19" s="10">
        <f t="shared" si="5"/>
        <v>5.444595</v>
      </c>
      <c r="E19" s="18">
        <v>1331.0</v>
      </c>
      <c r="F19" s="19">
        <v>0.042779</v>
      </c>
      <c r="G19" s="12">
        <f t="shared" si="6"/>
        <v>56.938849</v>
      </c>
      <c r="H19" s="16">
        <v>1533.0</v>
      </c>
      <c r="I19" s="17">
        <v>0.050588</v>
      </c>
      <c r="J19" s="10">
        <f t="shared" si="7"/>
        <v>77.551404</v>
      </c>
      <c r="K19" s="18">
        <v>2275.0</v>
      </c>
      <c r="L19" s="19">
        <v>0.060584</v>
      </c>
      <c r="M19" s="48">
        <f t="shared" si="8"/>
        <v>137.8286</v>
      </c>
      <c r="N19" s="16">
        <v>0.0</v>
      </c>
      <c r="O19" s="17">
        <v>0.050588</v>
      </c>
      <c r="P19" s="10">
        <f t="shared" si="9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68" t="s">
        <v>15</v>
      </c>
      <c r="B20" s="16">
        <v>1.0</v>
      </c>
      <c r="C20" s="17">
        <v>91.23</v>
      </c>
      <c r="D20" s="9">
        <f>(B20*C20)*3/18</f>
        <v>15.205</v>
      </c>
      <c r="E20" s="18">
        <v>1.0</v>
      </c>
      <c r="F20" s="19">
        <v>63.77</v>
      </c>
      <c r="G20" s="11">
        <f t="shared" si="6"/>
        <v>63.77</v>
      </c>
      <c r="H20" s="16">
        <v>1.0</v>
      </c>
      <c r="I20" s="17">
        <v>68.98</v>
      </c>
      <c r="J20" s="9">
        <f t="shared" si="7"/>
        <v>68.98</v>
      </c>
      <c r="K20" s="18">
        <v>1.0</v>
      </c>
      <c r="L20" s="19">
        <v>73.07</v>
      </c>
      <c r="M20" s="71">
        <f t="shared" si="8"/>
        <v>73.07</v>
      </c>
      <c r="N20" s="16">
        <v>1.0</v>
      </c>
      <c r="O20" s="17">
        <v>68.98</v>
      </c>
      <c r="P20" s="9">
        <f t="shared" si="9"/>
        <v>68.98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68" t="s">
        <v>16</v>
      </c>
      <c r="B21" s="16">
        <v>1.0</v>
      </c>
      <c r="C21" s="17">
        <v>85.86</v>
      </c>
      <c r="D21" s="9">
        <f>(B21*C21)*3/12</f>
        <v>21.465</v>
      </c>
      <c r="E21" s="18">
        <v>1.0</v>
      </c>
      <c r="F21" s="19">
        <v>80.71</v>
      </c>
      <c r="G21" s="11">
        <f t="shared" si="6"/>
        <v>80.71</v>
      </c>
      <c r="H21" s="16">
        <v>1.0</v>
      </c>
      <c r="I21" s="17">
        <v>88.43</v>
      </c>
      <c r="J21" s="9">
        <f t="shared" si="7"/>
        <v>88.43</v>
      </c>
      <c r="K21" s="18">
        <v>1.0</v>
      </c>
      <c r="L21" s="19">
        <v>92.73</v>
      </c>
      <c r="M21" s="71">
        <f t="shared" si="8"/>
        <v>92.73</v>
      </c>
      <c r="N21" s="16">
        <v>1.0</v>
      </c>
      <c r="O21" s="17">
        <v>88.43</v>
      </c>
      <c r="P21" s="9">
        <f t="shared" si="9"/>
        <v>88.43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68" t="s">
        <v>17</v>
      </c>
      <c r="B22" s="16">
        <f>B23+B28</f>
        <v>35.108</v>
      </c>
      <c r="C22" s="17"/>
      <c r="D22" s="9">
        <f t="shared" ref="D22:E22" si="10">D23+D28</f>
        <v>133.3206342</v>
      </c>
      <c r="E22" s="18">
        <f t="shared" si="10"/>
        <v>102.68</v>
      </c>
      <c r="F22" s="19">
        <v>6.0443746</v>
      </c>
      <c r="G22" s="11">
        <f t="shared" si="6"/>
        <v>620.6363839</v>
      </c>
      <c r="H22" s="16">
        <f>H23+H28</f>
        <v>57.79</v>
      </c>
      <c r="I22" s="17">
        <v>5.89891504</v>
      </c>
      <c r="J22" s="9">
        <f t="shared" si="7"/>
        <v>340.8983002</v>
      </c>
      <c r="K22" s="18"/>
      <c r="L22" s="19"/>
      <c r="M22" s="71">
        <f>M23+M28</f>
        <v>0</v>
      </c>
      <c r="N22" s="16">
        <v>0.0</v>
      </c>
      <c r="O22" s="17">
        <v>5.89891504</v>
      </c>
      <c r="P22" s="9">
        <f t="shared" si="9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66" t="s">
        <v>18</v>
      </c>
      <c r="B23" s="29">
        <f>B26</f>
        <v>18.147</v>
      </c>
      <c r="C23" s="22"/>
      <c r="D23" s="10">
        <f>D24+D25</f>
        <v>133.3206342</v>
      </c>
      <c r="E23" s="30">
        <f>E26</f>
        <v>50.96</v>
      </c>
      <c r="F23" s="23"/>
      <c r="G23" s="12">
        <f>G24+G25</f>
        <v>353.6350598</v>
      </c>
      <c r="H23" s="29">
        <f>H26</f>
        <v>19.24</v>
      </c>
      <c r="I23" s="22"/>
      <c r="J23" s="10">
        <f>J24+J25</f>
        <v>170.2427687</v>
      </c>
      <c r="K23" s="30"/>
      <c r="L23" s="23"/>
      <c r="M23" s="48">
        <f>M24+M25</f>
        <v>0</v>
      </c>
      <c r="N23" s="16">
        <v>0.0</v>
      </c>
      <c r="O23" s="22"/>
      <c r="P23" s="10">
        <f>P24+P25</f>
        <v>59.821388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66" t="s">
        <v>19</v>
      </c>
      <c r="B24" s="16">
        <v>81.0</v>
      </c>
      <c r="C24" s="17">
        <v>0.589922</v>
      </c>
      <c r="D24" s="10">
        <f>(B24*C24)*92/365</f>
        <v>12.04410615</v>
      </c>
      <c r="E24" s="18">
        <v>81.0</v>
      </c>
      <c r="F24" s="19">
        <v>0.63559</v>
      </c>
      <c r="G24" s="12">
        <f>(E24*F24)</f>
        <v>51.48279</v>
      </c>
      <c r="H24" s="16">
        <v>81.0</v>
      </c>
      <c r="I24" s="17">
        <v>0.565655</v>
      </c>
      <c r="J24" s="10">
        <f>H24*I24</f>
        <v>45.818055</v>
      </c>
      <c r="K24" s="18">
        <v>81.0</v>
      </c>
      <c r="L24" s="19">
        <v>0.0</v>
      </c>
      <c r="M24" s="48">
        <f>(K24*L24)</f>
        <v>0</v>
      </c>
      <c r="N24" s="16">
        <v>81.0</v>
      </c>
      <c r="O24" s="17">
        <v>0.565655</v>
      </c>
      <c r="P24" s="10">
        <f>N24*O24</f>
        <v>45.818055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66" t="s">
        <v>20</v>
      </c>
      <c r="B25" s="29">
        <f>SUM(B26)</f>
        <v>18.147</v>
      </c>
      <c r="C25" s="22"/>
      <c r="D25" s="10">
        <f>SUM(D26:D27)</f>
        <v>121.2765281</v>
      </c>
      <c r="E25" s="30">
        <f>SUM(E26)</f>
        <v>50.96</v>
      </c>
      <c r="F25" s="23"/>
      <c r="G25" s="12">
        <f>SUM(G26:G27)</f>
        <v>302.1522698</v>
      </c>
      <c r="H25" s="29">
        <f>SUM(H26)</f>
        <v>19.24</v>
      </c>
      <c r="I25" s="22"/>
      <c r="J25" s="10">
        <f>SUM(J26:J27)</f>
        <v>124.4247137</v>
      </c>
      <c r="K25" s="30">
        <f>SUM(K26)</f>
        <v>4.095</v>
      </c>
      <c r="L25" s="23"/>
      <c r="M25" s="48">
        <f>SUM(M26:M27)</f>
        <v>0</v>
      </c>
      <c r="N25" s="29">
        <f>SUM(N26)</f>
        <v>0</v>
      </c>
      <c r="O25" s="22"/>
      <c r="P25" s="10">
        <f>SUM(P26:P27)</f>
        <v>14.003333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68" t="s">
        <v>21</v>
      </c>
      <c r="B26" s="16">
        <v>18.147</v>
      </c>
      <c r="C26" s="17">
        <v>6.483475</v>
      </c>
      <c r="D26" s="10">
        <f>B26*C26</f>
        <v>117.6556208</v>
      </c>
      <c r="E26" s="18">
        <v>50.96</v>
      </c>
      <c r="F26" s="19">
        <v>5.647306</v>
      </c>
      <c r="G26" s="12">
        <f>E26*F26</f>
        <v>287.7867138</v>
      </c>
      <c r="H26" s="16">
        <v>19.24</v>
      </c>
      <c r="I26" s="17">
        <v>5.739157</v>
      </c>
      <c r="J26" s="10">
        <f t="shared" ref="J26:J27" si="11">H26*I26</f>
        <v>110.4213807</v>
      </c>
      <c r="K26" s="18">
        <v>4.095</v>
      </c>
      <c r="L26" s="19">
        <v>0.0</v>
      </c>
      <c r="M26" s="48">
        <f>K26*L26</f>
        <v>0</v>
      </c>
      <c r="N26" s="16">
        <v>0.0</v>
      </c>
      <c r="O26" s="17">
        <v>5.739157</v>
      </c>
      <c r="P26" s="10">
        <f t="shared" ref="P26:P27" si="12">N26*O26</f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68" t="s">
        <v>22</v>
      </c>
      <c r="B27" s="16">
        <v>1.0</v>
      </c>
      <c r="C27" s="17">
        <v>14.365556</v>
      </c>
      <c r="D27" s="9">
        <f>(B27*C27)*(92/365)</f>
        <v>3.620907266</v>
      </c>
      <c r="E27" s="18">
        <v>1.0</v>
      </c>
      <c r="F27" s="19">
        <v>14.365556</v>
      </c>
      <c r="G27" s="11">
        <f>(E27*F27)</f>
        <v>14.365556</v>
      </c>
      <c r="H27" s="16">
        <v>1.0</v>
      </c>
      <c r="I27" s="17">
        <v>14.003333</v>
      </c>
      <c r="J27" s="9">
        <f t="shared" si="11"/>
        <v>14.003333</v>
      </c>
      <c r="K27" s="18">
        <v>1.0</v>
      </c>
      <c r="L27" s="19">
        <v>0.0</v>
      </c>
      <c r="M27" s="71">
        <f>(K27*L27)</f>
        <v>0</v>
      </c>
      <c r="N27" s="16">
        <v>1.0</v>
      </c>
      <c r="O27" s="17">
        <v>14.003333</v>
      </c>
      <c r="P27" s="9">
        <f t="shared" si="12"/>
        <v>14.003333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66" t="s">
        <v>23</v>
      </c>
      <c r="B28" s="29">
        <f>SUM(B29:B30)</f>
        <v>16.961</v>
      </c>
      <c r="C28" s="22"/>
      <c r="D28" s="10">
        <f t="shared" ref="D28:E28" si="13">SUM(D29:D30)</f>
        <v>0</v>
      </c>
      <c r="E28" s="30">
        <f t="shared" si="13"/>
        <v>51.72</v>
      </c>
      <c r="F28" s="23"/>
      <c r="G28" s="12">
        <f t="shared" ref="G28:H28" si="14">SUM(G29:G30)</f>
        <v>312.6150543</v>
      </c>
      <c r="H28" s="29">
        <f t="shared" si="14"/>
        <v>38.55</v>
      </c>
      <c r="I28" s="22"/>
      <c r="J28" s="10">
        <f t="shared" ref="J28:K28" si="15">SUM(J29:J30)</f>
        <v>227.4031748</v>
      </c>
      <c r="K28" s="30">
        <f t="shared" si="15"/>
        <v>33.999</v>
      </c>
      <c r="L28" s="23"/>
      <c r="M28" s="48">
        <f t="shared" ref="M28:N28" si="16">SUM(M29:M30)</f>
        <v>0</v>
      </c>
      <c r="N28" s="29">
        <f t="shared" si="16"/>
        <v>0</v>
      </c>
      <c r="O28" s="22"/>
      <c r="P28" s="10">
        <f>SUM(P29:P30)</f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68" t="s">
        <v>24</v>
      </c>
      <c r="B29" s="16">
        <v>13.64</v>
      </c>
      <c r="C29" s="17">
        <v>0.0</v>
      </c>
      <c r="D29" s="9">
        <f t="shared" ref="D29:D31" si="17">B29*C29</f>
        <v>0</v>
      </c>
      <c r="E29" s="18">
        <v>42.8</v>
      </c>
      <c r="F29" s="19">
        <v>6.0443746</v>
      </c>
      <c r="G29" s="11">
        <f t="shared" ref="G29:G37" si="18">E29*F29</f>
        <v>258.6992329</v>
      </c>
      <c r="H29" s="16">
        <v>32.59</v>
      </c>
      <c r="I29" s="17">
        <v>5.89891504</v>
      </c>
      <c r="J29" s="9">
        <f t="shared" ref="J29:J37" si="19">H29*I29</f>
        <v>192.2456412</v>
      </c>
      <c r="K29" s="18">
        <v>29.741</v>
      </c>
      <c r="L29" s="19">
        <v>0.0</v>
      </c>
      <c r="M29" s="71">
        <f t="shared" ref="M29:M37" si="20">K29*L29</f>
        <v>0</v>
      </c>
      <c r="N29" s="16">
        <v>0.0</v>
      </c>
      <c r="O29" s="17">
        <v>5.89891504</v>
      </c>
      <c r="P29" s="9">
        <f t="shared" ref="P29:P37" si="21">N29*O29</f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68" t="s">
        <v>25</v>
      </c>
      <c r="B30" s="16">
        <v>3.321</v>
      </c>
      <c r="C30" s="17">
        <v>0.0</v>
      </c>
      <c r="D30" s="9">
        <f t="shared" si="17"/>
        <v>0</v>
      </c>
      <c r="E30" s="18">
        <v>8.92</v>
      </c>
      <c r="F30" s="19">
        <v>6.0443746</v>
      </c>
      <c r="G30" s="11">
        <f t="shared" si="18"/>
        <v>53.91582143</v>
      </c>
      <c r="H30" s="16">
        <v>5.96</v>
      </c>
      <c r="I30" s="17">
        <v>5.89891504</v>
      </c>
      <c r="J30" s="9">
        <f t="shared" si="19"/>
        <v>35.15753364</v>
      </c>
      <c r="K30" s="18">
        <v>4.258</v>
      </c>
      <c r="L30" s="19">
        <v>0.0</v>
      </c>
      <c r="M30" s="71">
        <f t="shared" si="20"/>
        <v>0</v>
      </c>
      <c r="N30" s="16">
        <v>0.0</v>
      </c>
      <c r="O30" s="17">
        <v>5.89891504</v>
      </c>
      <c r="P30" s="9">
        <f t="shared" si="21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68" t="s">
        <v>26</v>
      </c>
      <c r="B31" s="16">
        <v>1.0</v>
      </c>
      <c r="C31" s="17">
        <v>9.049091</v>
      </c>
      <c r="D31" s="9">
        <f t="shared" si="17"/>
        <v>9.049091</v>
      </c>
      <c r="E31" s="18">
        <v>1.0</v>
      </c>
      <c r="F31" s="19">
        <v>11.06</v>
      </c>
      <c r="G31" s="11">
        <f t="shared" si="18"/>
        <v>11.06</v>
      </c>
      <c r="H31" s="16">
        <v>1.0</v>
      </c>
      <c r="I31" s="17">
        <v>10.78</v>
      </c>
      <c r="J31" s="9">
        <f t="shared" si="19"/>
        <v>10.78</v>
      </c>
      <c r="K31" s="18">
        <v>1.0</v>
      </c>
      <c r="L31" s="19">
        <v>0.0</v>
      </c>
      <c r="M31" s="71">
        <f t="shared" si="20"/>
        <v>0</v>
      </c>
      <c r="N31" s="16">
        <v>1.0</v>
      </c>
      <c r="O31" s="17">
        <v>10.78</v>
      </c>
      <c r="P31" s="9">
        <f t="shared" si="21"/>
        <v>10.78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68" t="s">
        <v>27</v>
      </c>
      <c r="B32" s="16">
        <v>1.0</v>
      </c>
      <c r="C32" s="17">
        <v>23.42</v>
      </c>
      <c r="D32" s="9">
        <f t="shared" ref="D32:D35" si="22">(B32*C32)*3/12</f>
        <v>5.855</v>
      </c>
      <c r="E32" s="18">
        <v>1.0</v>
      </c>
      <c r="F32" s="19">
        <v>25.85</v>
      </c>
      <c r="G32" s="11">
        <f t="shared" si="18"/>
        <v>25.85</v>
      </c>
      <c r="H32" s="16">
        <v>1.0</v>
      </c>
      <c r="I32" s="17">
        <v>26.48</v>
      </c>
      <c r="J32" s="9">
        <f t="shared" si="19"/>
        <v>26.48</v>
      </c>
      <c r="K32" s="18">
        <v>1.0</v>
      </c>
      <c r="L32" s="19">
        <v>21.58</v>
      </c>
      <c r="M32" s="71">
        <f t="shared" si="20"/>
        <v>21.58</v>
      </c>
      <c r="N32" s="16">
        <v>1.0</v>
      </c>
      <c r="O32" s="17">
        <v>26.48</v>
      </c>
      <c r="P32" s="9">
        <f t="shared" si="21"/>
        <v>26.48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68" t="s">
        <v>28</v>
      </c>
      <c r="B33" s="16">
        <v>1.0</v>
      </c>
      <c r="C33" s="17">
        <v>96.84</v>
      </c>
      <c r="D33" s="9">
        <f t="shared" si="22"/>
        <v>24.21</v>
      </c>
      <c r="E33" s="18">
        <v>1.0</v>
      </c>
      <c r="F33" s="19">
        <v>147.27</v>
      </c>
      <c r="G33" s="11">
        <f t="shared" si="18"/>
        <v>147.27</v>
      </c>
      <c r="H33" s="16">
        <v>1.0</v>
      </c>
      <c r="I33" s="17">
        <v>226.25</v>
      </c>
      <c r="J33" s="9">
        <f t="shared" si="19"/>
        <v>226.25</v>
      </c>
      <c r="K33" s="18">
        <v>1.0</v>
      </c>
      <c r="L33" s="19">
        <v>209.48</v>
      </c>
      <c r="M33" s="71">
        <f t="shared" si="20"/>
        <v>209.48</v>
      </c>
      <c r="N33" s="16">
        <v>1.0</v>
      </c>
      <c r="O33" s="17">
        <v>226.25</v>
      </c>
      <c r="P33" s="9">
        <f t="shared" si="21"/>
        <v>226.25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68" t="s">
        <v>29</v>
      </c>
      <c r="B34" s="16">
        <v>1.0</v>
      </c>
      <c r="C34" s="17">
        <v>379.59</v>
      </c>
      <c r="D34" s="9">
        <f t="shared" si="22"/>
        <v>94.8975</v>
      </c>
      <c r="E34" s="18">
        <v>1.0</v>
      </c>
      <c r="F34" s="19">
        <v>418.12</v>
      </c>
      <c r="G34" s="11">
        <f t="shared" si="18"/>
        <v>418.12</v>
      </c>
      <c r="H34" s="16">
        <v>1.0</v>
      </c>
      <c r="I34" s="17">
        <v>397.87</v>
      </c>
      <c r="J34" s="9">
        <f t="shared" si="19"/>
        <v>397.87</v>
      </c>
      <c r="K34" s="18">
        <v>1.0</v>
      </c>
      <c r="L34" s="19">
        <v>356.74</v>
      </c>
      <c r="M34" s="71">
        <f t="shared" si="20"/>
        <v>356.74</v>
      </c>
      <c r="N34" s="16">
        <v>1.0</v>
      </c>
      <c r="O34" s="17">
        <v>397.87</v>
      </c>
      <c r="P34" s="9">
        <f t="shared" si="21"/>
        <v>397.87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68" t="s">
        <v>30</v>
      </c>
      <c r="B35" s="16">
        <v>1.0</v>
      </c>
      <c r="C35" s="17">
        <v>24.47</v>
      </c>
      <c r="D35" s="9">
        <f t="shared" si="22"/>
        <v>6.1175</v>
      </c>
      <c r="E35" s="18">
        <v>1.0</v>
      </c>
      <c r="F35" s="19">
        <v>12.23</v>
      </c>
      <c r="G35" s="11">
        <f t="shared" si="18"/>
        <v>12.23</v>
      </c>
      <c r="H35" s="16">
        <v>1.0</v>
      </c>
      <c r="I35" s="17">
        <v>22.72</v>
      </c>
      <c r="J35" s="9">
        <f t="shared" si="19"/>
        <v>22.72</v>
      </c>
      <c r="K35" s="18">
        <v>1.0</v>
      </c>
      <c r="L35" s="19">
        <v>37.32</v>
      </c>
      <c r="M35" s="71">
        <f t="shared" si="20"/>
        <v>37.32</v>
      </c>
      <c r="N35" s="16">
        <v>1.0</v>
      </c>
      <c r="O35" s="17">
        <v>22.72</v>
      </c>
      <c r="P35" s="9">
        <f t="shared" si="21"/>
        <v>22.72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68" t="s">
        <v>31</v>
      </c>
      <c r="B36" s="16">
        <v>1.0</v>
      </c>
      <c r="C36" s="17">
        <v>0.0</v>
      </c>
      <c r="D36" s="9">
        <f>B36*C36</f>
        <v>0</v>
      </c>
      <c r="E36" s="18">
        <v>1.0</v>
      </c>
      <c r="F36" s="19">
        <v>13.14</v>
      </c>
      <c r="G36" s="11">
        <f t="shared" si="18"/>
        <v>13.14</v>
      </c>
      <c r="H36" s="16">
        <v>1.0</v>
      </c>
      <c r="I36" s="17">
        <v>6.51</v>
      </c>
      <c r="J36" s="9">
        <f t="shared" si="19"/>
        <v>6.51</v>
      </c>
      <c r="K36" s="18">
        <v>1.0</v>
      </c>
      <c r="L36" s="19">
        <v>0.0</v>
      </c>
      <c r="M36" s="71">
        <f t="shared" si="20"/>
        <v>0</v>
      </c>
      <c r="N36" s="16">
        <v>1.0</v>
      </c>
      <c r="O36" s="17">
        <v>6.51</v>
      </c>
      <c r="P36" s="9">
        <f t="shared" si="21"/>
        <v>6.51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68" t="s">
        <v>32</v>
      </c>
      <c r="B37" s="16">
        <v>1.0</v>
      </c>
      <c r="C37" s="17">
        <v>178.07</v>
      </c>
      <c r="D37" s="9">
        <f>(B37*C37)*3/12</f>
        <v>44.5175</v>
      </c>
      <c r="E37" s="18">
        <v>1.0</v>
      </c>
      <c r="F37" s="19">
        <v>186.6</v>
      </c>
      <c r="G37" s="11">
        <f t="shared" si="18"/>
        <v>186.6</v>
      </c>
      <c r="H37" s="16">
        <v>1.0</v>
      </c>
      <c r="I37" s="17">
        <v>184.26</v>
      </c>
      <c r="J37" s="9">
        <f t="shared" si="19"/>
        <v>184.26</v>
      </c>
      <c r="K37" s="18">
        <v>1.0</v>
      </c>
      <c r="L37" s="19">
        <v>186.6</v>
      </c>
      <c r="M37" s="71">
        <f t="shared" si="20"/>
        <v>186.6</v>
      </c>
      <c r="N37" s="16">
        <v>1.0</v>
      </c>
      <c r="O37" s="17">
        <v>184.26</v>
      </c>
      <c r="P37" s="9">
        <f t="shared" si="21"/>
        <v>184.26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66" t="s">
        <v>33</v>
      </c>
      <c r="B38" s="29"/>
      <c r="C38" s="10"/>
      <c r="D38" s="10">
        <f>SUM(D10,D20,D21,D22,D32,D33,D34,D35,D36,D37)</f>
        <v>474.4264802</v>
      </c>
      <c r="E38" s="30"/>
      <c r="F38" s="12"/>
      <c r="G38" s="12">
        <f>SUM(G10,G20,G21,G22,G23,G31,G32,G33,G34,G35,G36,G37)</f>
        <v>2277.452447</v>
      </c>
      <c r="H38" s="29"/>
      <c r="I38" s="10"/>
      <c r="J38" s="10">
        <f>SUM(J10,J20,J21,J22,J23,J31,J32,J33,J34,J35,J36,J37)</f>
        <v>1947.135533</v>
      </c>
      <c r="K38" s="30"/>
      <c r="L38" s="12"/>
      <c r="M38" s="12">
        <f>SUM(M10,M20,M21,M22,M23,M31,M32,M33,M34,M35,M36,M37)</f>
        <v>1686.538258</v>
      </c>
      <c r="N38" s="29"/>
      <c r="O38" s="10"/>
      <c r="P38" s="10">
        <f>SUM(P10,P20,P21,P22,P23,P31,P32,P33,P34,P35,P36,P37)</f>
        <v>1194.716076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66" t="s">
        <v>34</v>
      </c>
      <c r="B39" s="4" t="s">
        <v>2</v>
      </c>
      <c r="C39" s="4" t="s">
        <v>3</v>
      </c>
      <c r="D39" s="4" t="s">
        <v>4</v>
      </c>
      <c r="E39" s="5" t="s">
        <v>2</v>
      </c>
      <c r="F39" s="5" t="s">
        <v>3</v>
      </c>
      <c r="G39" s="5" t="s">
        <v>4</v>
      </c>
      <c r="H39" s="4" t="s">
        <v>2</v>
      </c>
      <c r="I39" s="4" t="s">
        <v>3</v>
      </c>
      <c r="J39" s="4" t="s">
        <v>4</v>
      </c>
      <c r="K39" s="5" t="s">
        <v>2</v>
      </c>
      <c r="L39" s="5" t="s">
        <v>3</v>
      </c>
      <c r="M39" s="67" t="s">
        <v>4</v>
      </c>
      <c r="N39" s="4" t="s">
        <v>2</v>
      </c>
      <c r="O39" s="4" t="s">
        <v>3</v>
      </c>
      <c r="P39" s="4" t="s">
        <v>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68" t="s">
        <v>35</v>
      </c>
      <c r="B40" s="16">
        <v>1.0</v>
      </c>
      <c r="C40" s="9">
        <v>1.51</v>
      </c>
      <c r="D40" s="9">
        <f t="shared" ref="D40:D48" si="23">B40*C40</f>
        <v>1.51</v>
      </c>
      <c r="E40" s="18">
        <v>1.0</v>
      </c>
      <c r="F40" s="11">
        <v>14.29</v>
      </c>
      <c r="G40" s="11">
        <f t="shared" ref="G40:G48" si="24">E40*F40</f>
        <v>14.29</v>
      </c>
      <c r="H40" s="16">
        <v>1.0</v>
      </c>
      <c r="I40" s="9">
        <v>1.17</v>
      </c>
      <c r="J40" s="9">
        <f t="shared" ref="J40:J48" si="25">H40*I40</f>
        <v>1.17</v>
      </c>
      <c r="K40" s="18">
        <v>1.0</v>
      </c>
      <c r="L40" s="11">
        <v>1.99</v>
      </c>
      <c r="M40" s="71">
        <f t="shared" ref="M40:M48" si="26">K40*L40</f>
        <v>1.99</v>
      </c>
      <c r="N40" s="16">
        <v>1.0</v>
      </c>
      <c r="O40" s="9">
        <v>1.17</v>
      </c>
      <c r="P40" s="9">
        <f t="shared" ref="P40:P48" si="27">N40*O40</f>
        <v>1.17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68" t="s">
        <v>36</v>
      </c>
      <c r="B41" s="16">
        <v>1.0</v>
      </c>
      <c r="C41" s="9">
        <v>307.92</v>
      </c>
      <c r="D41" s="9">
        <f t="shared" si="23"/>
        <v>307.92</v>
      </c>
      <c r="E41" s="18">
        <v>1.0</v>
      </c>
      <c r="F41" s="11">
        <v>1229.0</v>
      </c>
      <c r="G41" s="11">
        <f t="shared" si="24"/>
        <v>1229</v>
      </c>
      <c r="H41" s="16">
        <v>1.0</v>
      </c>
      <c r="I41" s="9">
        <v>411.39</v>
      </c>
      <c r="J41" s="9">
        <f t="shared" si="25"/>
        <v>411.39</v>
      </c>
      <c r="K41" s="18">
        <v>1.0</v>
      </c>
      <c r="L41" s="11">
        <v>102.89</v>
      </c>
      <c r="M41" s="71">
        <f t="shared" si="26"/>
        <v>102.89</v>
      </c>
      <c r="N41" s="16">
        <v>1.0</v>
      </c>
      <c r="O41" s="9">
        <v>411.39</v>
      </c>
      <c r="P41" s="9">
        <f t="shared" si="27"/>
        <v>411.39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68" t="s">
        <v>37</v>
      </c>
      <c r="B42" s="16">
        <v>1.0</v>
      </c>
      <c r="C42" s="9">
        <v>199.92</v>
      </c>
      <c r="D42" s="9">
        <f t="shared" si="23"/>
        <v>199.92</v>
      </c>
      <c r="E42" s="18">
        <v>1.0</v>
      </c>
      <c r="F42" s="11">
        <v>199.92</v>
      </c>
      <c r="G42" s="11">
        <f t="shared" si="24"/>
        <v>199.92</v>
      </c>
      <c r="H42" s="16">
        <v>1.0</v>
      </c>
      <c r="I42" s="9">
        <v>197.4</v>
      </c>
      <c r="J42" s="9">
        <f t="shared" si="25"/>
        <v>197.4</v>
      </c>
      <c r="K42" s="18">
        <v>1.0</v>
      </c>
      <c r="L42" s="11">
        <v>199.92</v>
      </c>
      <c r="M42" s="71">
        <f t="shared" si="26"/>
        <v>199.92</v>
      </c>
      <c r="N42" s="16">
        <v>1.0</v>
      </c>
      <c r="O42" s="9">
        <v>197.4</v>
      </c>
      <c r="P42" s="9">
        <f t="shared" si="27"/>
        <v>197.4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68" t="s">
        <v>38</v>
      </c>
      <c r="B43" s="16">
        <v>1.0</v>
      </c>
      <c r="C43" s="9">
        <v>388.16</v>
      </c>
      <c r="D43" s="9">
        <f t="shared" si="23"/>
        <v>388.16</v>
      </c>
      <c r="E43" s="18">
        <v>1.0</v>
      </c>
      <c r="F43" s="11">
        <v>691.06</v>
      </c>
      <c r="G43" s="11">
        <f t="shared" si="24"/>
        <v>691.06</v>
      </c>
      <c r="H43" s="16">
        <v>1.0</v>
      </c>
      <c r="I43" s="9">
        <v>42.35</v>
      </c>
      <c r="J43" s="9">
        <f t="shared" si="25"/>
        <v>42.35</v>
      </c>
      <c r="K43" s="18">
        <v>1.0</v>
      </c>
      <c r="L43" s="11">
        <v>69.8</v>
      </c>
      <c r="M43" s="71">
        <f t="shared" si="26"/>
        <v>69.8</v>
      </c>
      <c r="N43" s="16">
        <v>1.0</v>
      </c>
      <c r="O43" s="9">
        <v>42.35</v>
      </c>
      <c r="P43" s="9">
        <f t="shared" si="27"/>
        <v>42.35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68" t="s">
        <v>39</v>
      </c>
      <c r="B44" s="16">
        <v>1.0</v>
      </c>
      <c r="C44" s="9">
        <v>-388.16</v>
      </c>
      <c r="D44" s="9">
        <f t="shared" si="23"/>
        <v>-388.16</v>
      </c>
      <c r="E44" s="18">
        <v>1.0</v>
      </c>
      <c r="F44" s="11">
        <v>-693.64</v>
      </c>
      <c r="G44" s="11">
        <f t="shared" si="24"/>
        <v>-693.64</v>
      </c>
      <c r="H44" s="16">
        <v>1.0</v>
      </c>
      <c r="I44" s="9">
        <v>-42.35</v>
      </c>
      <c r="J44" s="9">
        <f t="shared" si="25"/>
        <v>-42.35</v>
      </c>
      <c r="K44" s="18">
        <v>1.0</v>
      </c>
      <c r="L44" s="11">
        <v>-69.81</v>
      </c>
      <c r="M44" s="71">
        <f t="shared" si="26"/>
        <v>-69.81</v>
      </c>
      <c r="N44" s="16">
        <v>1.0</v>
      </c>
      <c r="O44" s="9">
        <v>-42.35</v>
      </c>
      <c r="P44" s="9">
        <f t="shared" si="27"/>
        <v>-42.35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68" t="s">
        <v>40</v>
      </c>
      <c r="B45" s="16">
        <v>1.0</v>
      </c>
      <c r="C45" s="9">
        <v>13.44</v>
      </c>
      <c r="D45" s="9">
        <f t="shared" si="23"/>
        <v>13.44</v>
      </c>
      <c r="E45" s="18">
        <v>1.0</v>
      </c>
      <c r="F45" s="11">
        <v>13.75</v>
      </c>
      <c r="G45" s="11">
        <f t="shared" si="24"/>
        <v>13.75</v>
      </c>
      <c r="H45" s="16">
        <v>1.0</v>
      </c>
      <c r="I45" s="9">
        <v>13.64</v>
      </c>
      <c r="J45" s="9">
        <f t="shared" si="25"/>
        <v>13.64</v>
      </c>
      <c r="K45" s="18">
        <v>1.0</v>
      </c>
      <c r="L45" s="11">
        <v>15.93</v>
      </c>
      <c r="M45" s="71">
        <f t="shared" si="26"/>
        <v>15.93</v>
      </c>
      <c r="N45" s="16">
        <v>1.0</v>
      </c>
      <c r="O45" s="9">
        <v>13.64</v>
      </c>
      <c r="P45" s="9">
        <f t="shared" si="27"/>
        <v>13.64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68" t="s">
        <v>41</v>
      </c>
      <c r="B46" s="16">
        <v>1.0</v>
      </c>
      <c r="C46" s="9">
        <v>3.03</v>
      </c>
      <c r="D46" s="9">
        <f t="shared" si="23"/>
        <v>3.03</v>
      </c>
      <c r="E46" s="18">
        <v>1.0</v>
      </c>
      <c r="F46" s="11">
        <v>30.83</v>
      </c>
      <c r="G46" s="11">
        <f t="shared" si="24"/>
        <v>30.83</v>
      </c>
      <c r="H46" s="16">
        <v>1.0</v>
      </c>
      <c r="I46" s="9">
        <v>0.0</v>
      </c>
      <c r="J46" s="9">
        <f t="shared" si="25"/>
        <v>0</v>
      </c>
      <c r="K46" s="18">
        <v>1.0</v>
      </c>
      <c r="L46" s="11">
        <v>19.99</v>
      </c>
      <c r="M46" s="71">
        <f t="shared" si="26"/>
        <v>19.99</v>
      </c>
      <c r="N46" s="16">
        <v>1.0</v>
      </c>
      <c r="O46" s="9">
        <v>0.0</v>
      </c>
      <c r="P46" s="9">
        <f t="shared" si="27"/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68" t="s">
        <v>42</v>
      </c>
      <c r="B47" s="16">
        <v>1.0</v>
      </c>
      <c r="C47" s="9">
        <v>-161.07</v>
      </c>
      <c r="D47" s="9">
        <f t="shared" si="23"/>
        <v>-161.07</v>
      </c>
      <c r="E47" s="18">
        <v>1.0</v>
      </c>
      <c r="F47" s="11">
        <v>-1057.32</v>
      </c>
      <c r="G47" s="11">
        <f t="shared" si="24"/>
        <v>-1057.32</v>
      </c>
      <c r="H47" s="16">
        <v>1.0</v>
      </c>
      <c r="I47" s="9">
        <v>-264.54</v>
      </c>
      <c r="J47" s="9">
        <f t="shared" si="25"/>
        <v>-264.54</v>
      </c>
      <c r="K47" s="18">
        <v>1.0</v>
      </c>
      <c r="L47" s="11">
        <v>0.0</v>
      </c>
      <c r="M47" s="71">
        <f t="shared" si="26"/>
        <v>0</v>
      </c>
      <c r="N47" s="16">
        <v>1.0</v>
      </c>
      <c r="O47" s="9">
        <v>-264.54</v>
      </c>
      <c r="P47" s="9">
        <f t="shared" si="27"/>
        <v>-264.54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68" t="s">
        <v>43</v>
      </c>
      <c r="B48" s="16">
        <v>1.0</v>
      </c>
      <c r="C48" s="9">
        <v>19.99</v>
      </c>
      <c r="D48" s="9">
        <f t="shared" si="23"/>
        <v>19.99</v>
      </c>
      <c r="E48" s="18">
        <v>1.0</v>
      </c>
      <c r="F48" s="11">
        <v>29.98</v>
      </c>
      <c r="G48" s="11">
        <f t="shared" si="24"/>
        <v>29.98</v>
      </c>
      <c r="H48" s="16">
        <v>1.0</v>
      </c>
      <c r="I48" s="9">
        <v>19.74</v>
      </c>
      <c r="J48" s="9">
        <f t="shared" si="25"/>
        <v>19.74</v>
      </c>
      <c r="K48" s="18">
        <v>1.0</v>
      </c>
      <c r="L48" s="11">
        <v>2.94</v>
      </c>
      <c r="M48" s="71">
        <f t="shared" si="26"/>
        <v>2.94</v>
      </c>
      <c r="N48" s="16">
        <v>1.0</v>
      </c>
      <c r="O48" s="9">
        <v>19.74</v>
      </c>
      <c r="P48" s="9">
        <f t="shared" si="27"/>
        <v>19.74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72" t="s">
        <v>33</v>
      </c>
      <c r="B49" s="37"/>
      <c r="C49" s="38"/>
      <c r="D49" s="10">
        <f>SUM(D40:D48)</f>
        <v>384.74</v>
      </c>
      <c r="E49" s="39"/>
      <c r="F49" s="39"/>
      <c r="G49" s="12">
        <f>SUM(G40:G48)</f>
        <v>457.87</v>
      </c>
      <c r="H49" s="38"/>
      <c r="I49" s="38"/>
      <c r="J49" s="10">
        <f>SUM(J40:J48)</f>
        <v>378.8</v>
      </c>
      <c r="K49" s="39"/>
      <c r="L49" s="39"/>
      <c r="M49" s="48">
        <f>SUM(M40:M48)</f>
        <v>343.65</v>
      </c>
      <c r="N49" s="38"/>
      <c r="O49" s="38"/>
      <c r="P49" s="10">
        <f>SUM(P40:P48)</f>
        <v>378.8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73" t="s">
        <v>44</v>
      </c>
      <c r="B50" s="42">
        <v>1.0</v>
      </c>
      <c r="C50" s="9">
        <v>51.18</v>
      </c>
      <c r="D50" s="9">
        <f>B50*C50</f>
        <v>51.18</v>
      </c>
      <c r="E50" s="43">
        <v>1.0</v>
      </c>
      <c r="F50" s="11">
        <v>204.73</v>
      </c>
      <c r="G50" s="11">
        <f>E50*F50</f>
        <v>204.73</v>
      </c>
      <c r="H50" s="42">
        <v>1.0</v>
      </c>
      <c r="I50" s="9">
        <v>204.73</v>
      </c>
      <c r="J50" s="9">
        <f>H50*I50</f>
        <v>204.73</v>
      </c>
      <c r="K50" s="43">
        <v>1.0</v>
      </c>
      <c r="L50" s="11">
        <v>204.73</v>
      </c>
      <c r="M50" s="71">
        <f>K50*L50</f>
        <v>204.73</v>
      </c>
      <c r="N50" s="42">
        <v>1.0</v>
      </c>
      <c r="O50" s="9">
        <v>204.73</v>
      </c>
      <c r="P50" s="9">
        <f>N50*O50</f>
        <v>204.73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72" t="s">
        <v>45</v>
      </c>
      <c r="B51" s="37"/>
      <c r="C51" s="38"/>
      <c r="D51" s="10">
        <f>D38+D49+D50</f>
        <v>910.3464802</v>
      </c>
      <c r="E51" s="39"/>
      <c r="F51" s="39"/>
      <c r="G51" s="12">
        <f>G38+G50</f>
        <v>2482.182447</v>
      </c>
      <c r="H51" s="38"/>
      <c r="I51" s="38"/>
      <c r="J51" s="10">
        <f>J38+J50</f>
        <v>2151.865533</v>
      </c>
      <c r="K51" s="39"/>
      <c r="L51" s="39"/>
      <c r="M51" s="12">
        <f>M38+M50</f>
        <v>1891.268258</v>
      </c>
      <c r="N51" s="38"/>
      <c r="O51" s="38"/>
      <c r="P51" s="10">
        <f>P38+P50</f>
        <v>1399.446076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68" t="s">
        <v>46</v>
      </c>
      <c r="B52" s="45"/>
      <c r="C52" s="9"/>
      <c r="D52" s="9">
        <v>450.0</v>
      </c>
      <c r="E52" s="46"/>
      <c r="F52" s="11"/>
      <c r="G52" s="11">
        <v>2150.0</v>
      </c>
      <c r="H52" s="45"/>
      <c r="I52" s="10"/>
      <c r="J52" s="9">
        <v>2400.0</v>
      </c>
      <c r="K52" s="46">
        <v>0.0</v>
      </c>
      <c r="L52" s="12"/>
      <c r="M52" s="71">
        <v>0.0</v>
      </c>
      <c r="N52" s="45"/>
      <c r="O52" s="10"/>
      <c r="P52" s="9">
        <v>2400.0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66" t="s">
        <v>47</v>
      </c>
      <c r="B53" s="38"/>
      <c r="C53" s="38"/>
      <c r="D53" s="10">
        <f>D52-D51</f>
        <v>-460.3464802</v>
      </c>
      <c r="E53" s="39"/>
      <c r="F53" s="39"/>
      <c r="G53" s="12">
        <f>G52-G51</f>
        <v>-332.1824467</v>
      </c>
      <c r="H53" s="38"/>
      <c r="I53" s="38"/>
      <c r="J53" s="10">
        <f>J52-J51</f>
        <v>248.1344672</v>
      </c>
      <c r="K53" s="39"/>
      <c r="L53" s="39"/>
      <c r="M53" s="48">
        <f>M52-M51</f>
        <v>-1891.268258</v>
      </c>
      <c r="N53" s="38"/>
      <c r="O53" s="38"/>
      <c r="P53" s="10">
        <f>P52-P51</f>
        <v>1000.553924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</sheetData>
  <mergeCells count="5">
    <mergeCell ref="B8:D8"/>
    <mergeCell ref="E8:G8"/>
    <mergeCell ref="H8:J8"/>
    <mergeCell ref="K8:M8"/>
    <mergeCell ref="N8:P8"/>
  </mergeCells>
  <conditionalFormatting sqref="D53">
    <cfRule type="cellIs" dxfId="0" priority="1" operator="greaterThanOrEqual">
      <formula>0</formula>
    </cfRule>
  </conditionalFormatting>
  <conditionalFormatting sqref="D53">
    <cfRule type="cellIs" dxfId="1" priority="2" operator="lessThan">
      <formula>0</formula>
    </cfRule>
  </conditionalFormatting>
  <conditionalFormatting sqref="G53">
    <cfRule type="cellIs" dxfId="0" priority="3" operator="greaterThanOrEqual">
      <formula>0</formula>
    </cfRule>
  </conditionalFormatting>
  <conditionalFormatting sqref="G53">
    <cfRule type="cellIs" dxfId="1" priority="4" operator="lessThan">
      <formula>0</formula>
    </cfRule>
  </conditionalFormatting>
  <conditionalFormatting sqref="J53 P53">
    <cfRule type="cellIs" dxfId="0" priority="5" operator="greaterThanOrEqual">
      <formula>0</formula>
    </cfRule>
  </conditionalFormatting>
  <conditionalFormatting sqref="J53 P53">
    <cfRule type="cellIs" dxfId="1" priority="6" operator="lessThan">
      <formula>0</formula>
    </cfRule>
  </conditionalFormatting>
  <conditionalFormatting sqref="M53 P53">
    <cfRule type="cellIs" dxfId="0" priority="7" operator="greaterThanOrEqual">
      <formula>0</formula>
    </cfRule>
  </conditionalFormatting>
  <conditionalFormatting sqref="M53 P53">
    <cfRule type="cellIs" dxfId="1" priority="8" operator="lessThan">
      <formula>0</formula>
    </cfRule>
  </conditionalFormatting>
  <drawing r:id="rId1"/>
</worksheet>
</file>